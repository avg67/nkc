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ing\_nkc_git_avg\nkc\tang_nano_20k\"/>
    </mc:Choice>
  </mc:AlternateContent>
  <xr:revisionPtr revIDLastSave="0" documentId="13_ncr:1_{5A524D33-DBB9-4E67-9640-AF358BDDE59B}" xr6:coauthVersionLast="47" xr6:coauthVersionMax="47" xr10:uidLastSave="{00000000-0000-0000-0000-000000000000}"/>
  <bookViews>
    <workbookView xWindow="-120" yWindow="-120" windowWidth="29040" windowHeight="18240" xr2:uid="{942B4D9E-04EB-40B1-86BB-40A352E3F2B6}"/>
  </bookViews>
  <sheets>
    <sheet name="256 Color LUT" sheetId="5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8" i="5" l="1"/>
  <c r="N252" i="5"/>
  <c r="N253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12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44" i="5"/>
  <c r="I248" i="5"/>
  <c r="I252" i="5"/>
  <c r="I256" i="5"/>
  <c r="I258" i="5"/>
  <c r="I260" i="5"/>
  <c r="I262" i="5"/>
  <c r="I264" i="5"/>
  <c r="I266" i="5"/>
  <c r="L8" i="5"/>
  <c r="I253" i="5" s="1"/>
  <c r="G247" i="5"/>
  <c r="N247" i="5" s="1"/>
  <c r="G245" i="5"/>
  <c r="N245" i="5" s="1"/>
  <c r="G249" i="5"/>
  <c r="N249" i="5" s="1"/>
  <c r="G251" i="5"/>
  <c r="N251" i="5" s="1"/>
  <c r="G255" i="5"/>
  <c r="N255" i="5" s="1"/>
  <c r="D244" i="5"/>
  <c r="D245" i="5"/>
  <c r="E245" i="5"/>
  <c r="D246" i="5"/>
  <c r="E246" i="5"/>
  <c r="D247" i="5"/>
  <c r="E247" i="5"/>
  <c r="D248" i="5"/>
  <c r="E248" i="5"/>
  <c r="D249" i="5"/>
  <c r="E249" i="5"/>
  <c r="D250" i="5"/>
  <c r="E250" i="5"/>
  <c r="D251" i="5"/>
  <c r="E251" i="5"/>
  <c r="D252" i="5"/>
  <c r="E252" i="5"/>
  <c r="D253" i="5"/>
  <c r="E253" i="5"/>
  <c r="D254" i="5"/>
  <c r="E254" i="5"/>
  <c r="D255" i="5"/>
  <c r="E255" i="5"/>
  <c r="D256" i="5"/>
  <c r="E256" i="5"/>
  <c r="D257" i="5"/>
  <c r="E257" i="5"/>
  <c r="D258" i="5"/>
  <c r="E258" i="5"/>
  <c r="D259" i="5"/>
  <c r="E259" i="5"/>
  <c r="D260" i="5"/>
  <c r="E260" i="5"/>
  <c r="D261" i="5"/>
  <c r="E261" i="5"/>
  <c r="D262" i="5"/>
  <c r="E262" i="5"/>
  <c r="D263" i="5"/>
  <c r="E263" i="5"/>
  <c r="D264" i="5"/>
  <c r="E264" i="5"/>
  <c r="D265" i="5"/>
  <c r="E265" i="5"/>
  <c r="D266" i="5"/>
  <c r="E266" i="5"/>
  <c r="D267" i="5"/>
  <c r="E267" i="5"/>
  <c r="E244" i="5"/>
  <c r="C245" i="5"/>
  <c r="C246" i="5"/>
  <c r="G246" i="5" s="1"/>
  <c r="C247" i="5"/>
  <c r="C248" i="5"/>
  <c r="C249" i="5"/>
  <c r="C250" i="5"/>
  <c r="G250" i="5" s="1"/>
  <c r="C251" i="5"/>
  <c r="C252" i="5"/>
  <c r="C253" i="5"/>
  <c r="C254" i="5"/>
  <c r="G254" i="5" s="1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44" i="5"/>
  <c r="G244" i="5" s="1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9" i="5"/>
  <c r="E30" i="5"/>
  <c r="E31" i="5"/>
  <c r="E32" i="5"/>
  <c r="E33" i="5"/>
  <c r="E34" i="5"/>
  <c r="E35" i="5"/>
  <c r="E36" i="5"/>
  <c r="E37" i="5"/>
  <c r="E38" i="5"/>
  <c r="E39" i="5"/>
  <c r="E40" i="5"/>
  <c r="E28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9" i="5"/>
  <c r="D30" i="5"/>
  <c r="D31" i="5"/>
  <c r="D32" i="5"/>
  <c r="D33" i="5"/>
  <c r="D34" i="5"/>
  <c r="D35" i="5"/>
  <c r="D36" i="5"/>
  <c r="D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8" i="5"/>
  <c r="H247" i="5"/>
  <c r="H251" i="5"/>
  <c r="H255" i="5"/>
  <c r="H259" i="5"/>
  <c r="H263" i="5"/>
  <c r="H267" i="5"/>
  <c r="H248" i="5"/>
  <c r="H252" i="5"/>
  <c r="H256" i="5"/>
  <c r="H260" i="5"/>
  <c r="H264" i="5"/>
  <c r="H245" i="5"/>
  <c r="H249" i="5"/>
  <c r="H253" i="5"/>
  <c r="H257" i="5"/>
  <c r="H261" i="5"/>
  <c r="H265" i="5"/>
  <c r="H258" i="5"/>
  <c r="H262" i="5"/>
  <c r="H266" i="5"/>
  <c r="N244" i="5" l="1"/>
  <c r="I244" i="5"/>
  <c r="N254" i="5"/>
  <c r="I254" i="5"/>
  <c r="N250" i="5"/>
  <c r="I250" i="5"/>
  <c r="N246" i="5"/>
  <c r="I246" i="5"/>
  <c r="I267" i="5"/>
  <c r="I265" i="5"/>
  <c r="I263" i="5"/>
  <c r="I261" i="5"/>
  <c r="I259" i="5"/>
  <c r="I257" i="5"/>
  <c r="I255" i="5"/>
  <c r="I251" i="5"/>
  <c r="I249" i="5"/>
  <c r="I247" i="5"/>
  <c r="I245" i="5"/>
  <c r="H244" i="5"/>
  <c r="H250" i="5"/>
  <c r="K13" i="5"/>
  <c r="K21" i="5"/>
  <c r="K29" i="5"/>
  <c r="K37" i="5"/>
  <c r="K45" i="5"/>
  <c r="K53" i="5"/>
  <c r="K61" i="5"/>
  <c r="K69" i="5"/>
  <c r="K77" i="5"/>
  <c r="K85" i="5"/>
  <c r="K93" i="5"/>
  <c r="K101" i="5"/>
  <c r="K109" i="5"/>
  <c r="K117" i="5"/>
  <c r="K125" i="5"/>
  <c r="K133" i="5"/>
  <c r="K141" i="5"/>
  <c r="K149" i="5"/>
  <c r="K157" i="5"/>
  <c r="K165" i="5"/>
  <c r="K173" i="5"/>
  <c r="K181" i="5"/>
  <c r="K189" i="5"/>
  <c r="K197" i="5"/>
  <c r="K205" i="5"/>
  <c r="K213" i="5"/>
  <c r="K221" i="5"/>
  <c r="K229" i="5"/>
  <c r="K237" i="5"/>
  <c r="K14" i="5"/>
  <c r="K22" i="5"/>
  <c r="K30" i="5"/>
  <c r="K42" i="5"/>
  <c r="K58" i="5"/>
  <c r="K74" i="5"/>
  <c r="K90" i="5"/>
  <c r="K106" i="5"/>
  <c r="K122" i="5"/>
  <c r="K138" i="5"/>
  <c r="K154" i="5"/>
  <c r="K170" i="5"/>
  <c r="K186" i="5"/>
  <c r="K202" i="5"/>
  <c r="K218" i="5"/>
  <c r="K234" i="5"/>
  <c r="K40" i="5"/>
  <c r="K56" i="5"/>
  <c r="K72" i="5"/>
  <c r="K88" i="5"/>
  <c r="K104" i="5"/>
  <c r="K120" i="5"/>
  <c r="K136" i="5"/>
  <c r="K152" i="5"/>
  <c r="K168" i="5"/>
  <c r="K184" i="5"/>
  <c r="K200" i="5"/>
  <c r="K216" i="5"/>
  <c r="K232" i="5"/>
  <c r="F245" i="5"/>
  <c r="F253" i="5"/>
  <c r="F261" i="5"/>
  <c r="F246" i="5"/>
  <c r="F254" i="5"/>
  <c r="F262" i="5"/>
  <c r="K19" i="5"/>
  <c r="K35" i="5"/>
  <c r="K51" i="5"/>
  <c r="K67" i="5"/>
  <c r="K83" i="5"/>
  <c r="K99" i="5"/>
  <c r="K115" i="5"/>
  <c r="K131" i="5"/>
  <c r="K147" i="5"/>
  <c r="K163" i="5"/>
  <c r="K179" i="5"/>
  <c r="K195" i="5"/>
  <c r="K211" i="5"/>
  <c r="K227" i="5"/>
  <c r="K243" i="5"/>
  <c r="K28" i="5"/>
  <c r="K54" i="5"/>
  <c r="K86" i="5"/>
  <c r="K118" i="5"/>
  <c r="K150" i="5"/>
  <c r="K182" i="5"/>
  <c r="K214" i="5"/>
  <c r="K36" i="5"/>
  <c r="K68" i="5"/>
  <c r="K100" i="5"/>
  <c r="K132" i="5"/>
  <c r="K164" i="5"/>
  <c r="K196" i="5"/>
  <c r="K228" i="5"/>
  <c r="F251" i="5"/>
  <c r="F267" i="5"/>
  <c r="F260" i="5"/>
  <c r="K23" i="5"/>
  <c r="K39" i="5"/>
  <c r="K55" i="5"/>
  <c r="K71" i="5"/>
  <c r="K87" i="5"/>
  <c r="K103" i="5"/>
  <c r="K119" i="5"/>
  <c r="K135" i="5"/>
  <c r="K151" i="5"/>
  <c r="K167" i="5"/>
  <c r="K183" i="5"/>
  <c r="K199" i="5"/>
  <c r="K215" i="5"/>
  <c r="K231" i="5"/>
  <c r="K16" i="5"/>
  <c r="K32" i="5"/>
  <c r="K62" i="5"/>
  <c r="K94" i="5"/>
  <c r="K126" i="5"/>
  <c r="K158" i="5"/>
  <c r="K190" i="5"/>
  <c r="K222" i="5"/>
  <c r="K44" i="5"/>
  <c r="K76" i="5"/>
  <c r="K108" i="5"/>
  <c r="K140" i="5"/>
  <c r="K172" i="5"/>
  <c r="K204" i="5"/>
  <c r="K236" i="5"/>
  <c r="H246" i="5"/>
  <c r="K25" i="5"/>
  <c r="K41" i="5"/>
  <c r="K57" i="5"/>
  <c r="K73" i="5"/>
  <c r="K89" i="5"/>
  <c r="K105" i="5"/>
  <c r="K121" i="5"/>
  <c r="K137" i="5"/>
  <c r="K153" i="5"/>
  <c r="K169" i="5"/>
  <c r="K185" i="5"/>
  <c r="K201" i="5"/>
  <c r="K217" i="5"/>
  <c r="K233" i="5"/>
  <c r="K18" i="5"/>
  <c r="K34" i="5"/>
  <c r="K66" i="5"/>
  <c r="K98" i="5"/>
  <c r="K130" i="5"/>
  <c r="K162" i="5"/>
  <c r="K194" i="5"/>
  <c r="K226" i="5"/>
  <c r="K48" i="5"/>
  <c r="K80" i="5"/>
  <c r="K112" i="5"/>
  <c r="K144" i="5"/>
  <c r="K176" i="5"/>
  <c r="K208" i="5"/>
  <c r="K240" i="5"/>
  <c r="F257" i="5"/>
  <c r="F250" i="5"/>
  <c r="K15" i="5"/>
  <c r="K43" i="5"/>
  <c r="K75" i="5"/>
  <c r="K107" i="5"/>
  <c r="K139" i="5"/>
  <c r="K171" i="5"/>
  <c r="K203" i="5"/>
  <c r="K235" i="5"/>
  <c r="K38" i="5"/>
  <c r="K102" i="5"/>
  <c r="K166" i="5"/>
  <c r="K230" i="5"/>
  <c r="K84" i="5"/>
  <c r="K148" i="5"/>
  <c r="K212" i="5"/>
  <c r="F259" i="5"/>
  <c r="F266" i="5"/>
  <c r="K47" i="5"/>
  <c r="K79" i="5"/>
  <c r="K111" i="5"/>
  <c r="K143" i="5"/>
  <c r="K175" i="5"/>
  <c r="K207" i="5"/>
  <c r="K239" i="5"/>
  <c r="K46" i="5"/>
  <c r="K110" i="5"/>
  <c r="K174" i="5"/>
  <c r="K238" i="5"/>
  <c r="K92" i="5"/>
  <c r="K156" i="5"/>
  <c r="K220" i="5"/>
  <c r="F255" i="5"/>
  <c r="F248" i="5"/>
  <c r="F264" i="5"/>
  <c r="H254" i="5"/>
  <c r="K17" i="5"/>
  <c r="K33" i="5"/>
  <c r="K49" i="5"/>
  <c r="K65" i="5"/>
  <c r="K81" i="5"/>
  <c r="K97" i="5"/>
  <c r="K113" i="5"/>
  <c r="K129" i="5"/>
  <c r="K145" i="5"/>
  <c r="K161" i="5"/>
  <c r="K177" i="5"/>
  <c r="K193" i="5"/>
  <c r="K209" i="5"/>
  <c r="K225" i="5"/>
  <c r="K241" i="5"/>
  <c r="K26" i="5"/>
  <c r="K50" i="5"/>
  <c r="K82" i="5"/>
  <c r="K114" i="5"/>
  <c r="K146" i="5"/>
  <c r="K178" i="5"/>
  <c r="K210" i="5"/>
  <c r="K242" i="5"/>
  <c r="K64" i="5"/>
  <c r="K96" i="5"/>
  <c r="K128" i="5"/>
  <c r="K160" i="5"/>
  <c r="K192" i="5"/>
  <c r="K224" i="5"/>
  <c r="F249" i="5"/>
  <c r="F265" i="5"/>
  <c r="F258" i="5"/>
  <c r="K27" i="5"/>
  <c r="K59" i="5"/>
  <c r="K91" i="5"/>
  <c r="K123" i="5"/>
  <c r="K155" i="5"/>
  <c r="K187" i="5"/>
  <c r="K219" i="5"/>
  <c r="K20" i="5"/>
  <c r="K70" i="5"/>
  <c r="K134" i="5"/>
  <c r="K198" i="5"/>
  <c r="K52" i="5"/>
  <c r="K116" i="5"/>
  <c r="K180" i="5"/>
  <c r="K12" i="5"/>
  <c r="F252" i="5"/>
  <c r="K31" i="5"/>
  <c r="K63" i="5"/>
  <c r="K95" i="5"/>
  <c r="K127" i="5"/>
  <c r="K159" i="5"/>
  <c r="K191" i="5"/>
  <c r="K223" i="5"/>
  <c r="K24" i="5"/>
  <c r="K78" i="5"/>
  <c r="K142" i="5"/>
  <c r="K206" i="5"/>
  <c r="K60" i="5"/>
  <c r="K124" i="5"/>
  <c r="K188" i="5"/>
  <c r="F247" i="5"/>
  <c r="F263" i="5"/>
  <c r="F256" i="5"/>
  <c r="F244" i="5"/>
</calcChain>
</file>

<file path=xl/sharedStrings.xml><?xml version="1.0" encoding="utf-8"?>
<sst xmlns="http://schemas.openxmlformats.org/spreadsheetml/2006/main" count="53" uniqueCount="50">
  <si>
    <t>Color numbers 0 to 7 are the default terminal colors, the actual RGB value of which is not standardized and can often be configured</t>
  </si>
  <si>
    <t>Color numbers 8 to 15 are the "bright" colors. Most of the time these are a lighter shade of the color with index - 8. They are also not standardized and can often be configured. Depending on terminal and shell, they are often used instead of or in conjunction with bold font faces.</t>
  </si>
  <si>
    <t>Color numbers 16 to 231 are RGB colors. These 216 colors are defined by 6 values on each of the three RGB axes. That is, instead of values 0 - 255, each color only ranges from 0 - 5.</t>
  </si>
  <si>
    <t>The color numbers 232 to 255 are grayscale with 24 shades of gray from dark to light.</t>
  </si>
  <si>
    <t>number = 16 + 36 * r + 6 * g + b</t>
  </si>
  <si>
    <t>Nr</t>
  </si>
  <si>
    <t>R</t>
  </si>
  <si>
    <t>G</t>
  </si>
  <si>
    <t>B</t>
  </si>
  <si>
    <t>N</t>
  </si>
  <si>
    <t>0,0,0</t>
  </si>
  <si>
    <t>255,255,255</t>
  </si>
  <si>
    <t>255,255,0</t>
  </si>
  <si>
    <t>0,255,0</t>
  </si>
  <si>
    <t>255,0,0</t>
  </si>
  <si>
    <t>0,0,255</t>
  </si>
  <si>
    <t>255,0,255</t>
  </si>
  <si>
    <t>0,255,255</t>
  </si>
  <si>
    <t>64,64,64</t>
  </si>
  <si>
    <t>128,128,128</t>
  </si>
  <si>
    <t>96,96,0</t>
  </si>
  <si>
    <t>0,96,0</t>
  </si>
  <si>
    <t>96,0,0</t>
  </si>
  <si>
    <t>0,0,96</t>
  </si>
  <si>
    <t>96,0,96</t>
  </si>
  <si>
    <t>0,96,96</t>
  </si>
  <si>
    <t xml:space="preserve">Schwarz       </t>
  </si>
  <si>
    <t xml:space="preserve">Weiß          </t>
  </si>
  <si>
    <t xml:space="preserve">Gelb          </t>
  </si>
  <si>
    <t xml:space="preserve">Grün          </t>
  </si>
  <si>
    <t xml:space="preserve">Rot           </t>
  </si>
  <si>
    <t xml:space="preserve">Blau          </t>
  </si>
  <si>
    <t xml:space="preserve">Violett       </t>
  </si>
  <si>
    <t xml:space="preserve">Zyan          </t>
  </si>
  <si>
    <t xml:space="preserve">Dunkelgrau    </t>
  </si>
  <si>
    <t xml:space="preserve">Hellgrau      </t>
  </si>
  <si>
    <t xml:space="preserve">Dunkelgelb    </t>
  </si>
  <si>
    <t xml:space="preserve">Dunkelgrün    </t>
  </si>
  <si>
    <t xml:space="preserve">Dunkelrot     </t>
  </si>
  <si>
    <t xml:space="preserve">Dunkelblau    </t>
  </si>
  <si>
    <t>Violett dunkel</t>
  </si>
  <si>
    <t xml:space="preserve">Zyan dunkel   </t>
  </si>
  <si>
    <t>Greyscale: rgb_R = rgb_G = rgb_B = (number - 232) * 10 + 8</t>
  </si>
  <si>
    <t>24 Graustufen</t>
  </si>
  <si>
    <t>https://github.com/linrock/256-colors</t>
  </si>
  <si>
    <t>5 bit pro Farbe -&gt; 0-31</t>
  </si>
  <si>
    <t>Scale 3bit -&gt; 8bit</t>
  </si>
  <si>
    <t>RGB (bin)</t>
  </si>
  <si>
    <t>ANSI Rainbow color palette</t>
  </si>
  <si>
    <t>https://www.hackitu.de/termcolor256/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</si>
</sst>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C0D0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0C0D0E"/>
      <name val="Segoe UI"/>
      <family val="2"/>
    </font>
    <font>
      <sz val="9.9"/>
      <color rgb="FFEEEEEE"/>
      <name val="Lucida Sans Typewriter"/>
      <family val="3"/>
    </font>
    <font>
      <sz val="9.9"/>
      <color rgb="FF111111"/>
      <name val="Lucida Sans Typewriter"/>
      <family val="3"/>
    </font>
  </fonts>
  <fills count="392">
    <fill>
      <patternFill patternType="none"/>
    </fill>
    <fill>
      <patternFill patternType="gray125"/>
    </fill>
    <fill>
      <patternFill patternType="solid">
        <fgColor rgb="FF080808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000033"/>
        <bgColor indexed="64"/>
      </patternFill>
    </fill>
    <fill>
      <patternFill patternType="solid">
        <fgColor rgb="FF003333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6633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9933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CC33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33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330033"/>
        <bgColor indexed="64"/>
      </patternFill>
    </fill>
    <fill>
      <patternFill patternType="solid">
        <fgColor rgb="FF330099"/>
        <bgColor indexed="64"/>
      </patternFill>
    </fill>
    <fill>
      <patternFill patternType="solid">
        <fgColor rgb="FF3300FF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336633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rgb="FF339999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3CC99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33FF33"/>
        <bgColor indexed="64"/>
      </patternFill>
    </fill>
    <fill>
      <patternFill patternType="solid">
        <fgColor rgb="FF33FF99"/>
        <bgColor indexed="64"/>
      </patternFill>
    </fill>
    <fill>
      <patternFill patternType="solid">
        <fgColor rgb="FF33FF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660099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663399"/>
        <bgColor indexed="64"/>
      </patternFill>
    </fill>
    <fill>
      <patternFill patternType="solid">
        <fgColor rgb="FF6633FF"/>
        <bgColor indexed="64"/>
      </patternFill>
    </fill>
    <fill>
      <patternFill patternType="solid">
        <fgColor rgb="FF666633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9933"/>
        <bgColor indexed="64"/>
      </patternFill>
    </fill>
    <fill>
      <patternFill patternType="solid">
        <fgColor rgb="FF669999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66CC33"/>
        <bgColor indexed="64"/>
      </patternFill>
    </fill>
    <fill>
      <patternFill patternType="solid">
        <fgColor rgb="FF66CC99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993333"/>
        <bgColor indexed="64"/>
      </patternFill>
    </fill>
    <fill>
      <patternFill patternType="solid">
        <fgColor rgb="FF99339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966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99993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CC33"/>
        <bgColor indexed="64"/>
      </patternFill>
    </fill>
    <fill>
      <patternFill patternType="solid">
        <fgColor rgb="FF99CC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CC0033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CC3333"/>
        <bgColor indexed="64"/>
      </patternFill>
    </fill>
    <fill>
      <patternFill patternType="solid">
        <fgColor rgb="FFCC3399"/>
        <bgColor indexed="64"/>
      </patternFill>
    </fill>
    <fill>
      <patternFill patternType="solid">
        <fgColor rgb="FFCC33FF"/>
        <bgColor indexed="64"/>
      </patternFill>
    </fill>
    <fill>
      <patternFill patternType="solid">
        <fgColor rgb="FFCC6633"/>
        <bgColor indexed="64"/>
      </patternFill>
    </fill>
    <fill>
      <patternFill patternType="solid">
        <fgColor rgb="FFCC6699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99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CC33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33"/>
        <bgColor indexed="64"/>
      </patternFill>
    </fill>
    <fill>
      <patternFill patternType="solid">
        <fgColor rgb="FFFF0099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333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FF33FF"/>
        <bgColor indexed="64"/>
      </patternFill>
    </fill>
    <fill>
      <patternFill patternType="solid">
        <fgColor rgb="FFFF6633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C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9900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330066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336666"/>
        <bgColor indexed="64"/>
      </patternFill>
    </fill>
    <fill>
      <patternFill patternType="solid">
        <fgColor rgb="FF339900"/>
        <bgColor indexed="64"/>
      </patternFill>
    </fill>
    <fill>
      <patternFill patternType="solid">
        <fgColor rgb="FF3399CC"/>
        <bgColor indexed="64"/>
      </patternFill>
    </fill>
    <fill>
      <patternFill patternType="solid">
        <fgColor rgb="FF33CC66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33FFCC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6633C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rgb="FF66CC66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990066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9933CC"/>
        <bgColor indexed="64"/>
      </patternFill>
    </fill>
    <fill>
      <patternFill patternType="solid">
        <fgColor rgb="FF996666"/>
        <bgColor indexed="64"/>
      </patternFill>
    </fill>
    <fill>
      <patternFill patternType="solid">
        <fgColor rgb="FF9999CC"/>
        <bgColor indexed="64"/>
      </patternFill>
    </fill>
    <fill>
      <patternFill patternType="solid">
        <fgColor rgb="FF99CC66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CC33CC"/>
        <bgColor indexed="64"/>
      </patternFill>
    </fill>
    <fill>
      <patternFill patternType="solid">
        <fgColor rgb="FFCC6666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CC99CC"/>
        <bgColor indexed="64"/>
      </patternFill>
    </fill>
    <fill>
      <patternFill patternType="solid">
        <fgColor rgb="FFCCCC66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9966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FF66"/>
        <bgColor indexed="64"/>
      </patternFill>
    </fill>
    <fill>
      <patternFill patternType="solid">
        <fgColor rgb="FF330000"/>
        <bgColor indexed="64"/>
      </patternFill>
    </fill>
    <fill>
      <patternFill patternType="solid">
        <fgColor rgb="FF3300CC"/>
        <bgColor indexed="64"/>
      </patternFill>
    </fill>
    <fill>
      <patternFill patternType="solid">
        <fgColor rgb="FF333366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3366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33CC0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33FF66"/>
        <bgColor indexed="64"/>
      </patternFill>
    </fill>
    <fill>
      <patternFill patternType="solid">
        <fgColor rgb="FF660000"/>
        <bgColor indexed="64"/>
      </patternFill>
    </fill>
    <fill>
      <patternFill patternType="solid">
        <fgColor rgb="FF6600CC"/>
        <bgColor indexed="64"/>
      </patternFill>
    </fill>
    <fill>
      <patternFill patternType="solid">
        <fgColor rgb="FF663366"/>
        <bgColor indexed="64"/>
      </patternFill>
    </fill>
    <fill>
      <patternFill patternType="solid">
        <fgColor rgb="FF666600"/>
        <bgColor indexed="64"/>
      </patternFill>
    </fill>
    <fill>
      <patternFill patternType="solid">
        <fgColor rgb="FF6666CC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66CCCC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00CC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9966CC"/>
        <bgColor indexed="64"/>
      </patternFill>
    </fill>
    <fill>
      <patternFill patternType="solid">
        <fgColor rgb="FF999966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99CCCC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33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CC66CC"/>
        <bgColor indexed="64"/>
      </patternFill>
    </fill>
    <fill>
      <patternFill patternType="solid">
        <fgColor rgb="FFCC9966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00CC"/>
        <bgColor indexed="64"/>
      </patternFill>
    </fill>
    <fill>
      <patternFill patternType="solid">
        <fgColor rgb="FFFF3366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5F0000"/>
        <bgColor indexed="64"/>
      </patternFill>
    </fill>
    <fill>
      <patternFill patternType="solid">
        <fgColor rgb="FF870000"/>
        <bgColor indexed="64"/>
      </patternFill>
    </fill>
    <fill>
      <patternFill patternType="solid">
        <fgColor rgb="FFAF0000"/>
        <bgColor indexed="64"/>
      </patternFill>
    </fill>
    <fill>
      <patternFill patternType="solid">
        <fgColor rgb="FFD70000"/>
        <bgColor indexed="64"/>
      </patternFill>
    </fill>
    <fill>
      <patternFill patternType="solid">
        <fgColor rgb="FFFF5F5F"/>
        <bgColor indexed="64"/>
      </patternFill>
    </fill>
    <fill>
      <patternFill patternType="solid">
        <fgColor rgb="FFFF8787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FFD7D7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FF875F"/>
        <bgColor indexed="64"/>
      </patternFill>
    </fill>
    <fill>
      <patternFill patternType="solid">
        <fgColor rgb="FFFFAF87"/>
        <bgColor indexed="64"/>
      </patternFill>
    </fill>
    <fill>
      <patternFill patternType="solid">
        <fgColor rgb="FFFFD7AF"/>
        <bgColor indexed="64"/>
      </patternFill>
    </fill>
    <fill>
      <patternFill patternType="solid">
        <fgColor rgb="FFFFFFD7"/>
        <bgColor indexed="64"/>
      </patternFill>
    </fill>
    <fill>
      <patternFill patternType="solid">
        <fgColor rgb="FFD75F00"/>
        <bgColor indexed="64"/>
      </patternFill>
    </fill>
    <fill>
      <patternFill patternType="solid">
        <fgColor rgb="FFFF8700"/>
        <bgColor indexed="64"/>
      </patternFill>
    </fill>
    <fill>
      <patternFill patternType="solid">
        <fgColor rgb="FFFFAF5F"/>
        <bgColor indexed="64"/>
      </patternFill>
    </fill>
    <fill>
      <patternFill patternType="solid">
        <fgColor rgb="FFFFD787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AF5F00"/>
        <bgColor indexed="64"/>
      </patternFill>
    </fill>
    <fill>
      <patternFill patternType="solid">
        <fgColor rgb="FFD787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FFD75F"/>
        <bgColor indexed="64"/>
      </patternFill>
    </fill>
    <fill>
      <patternFill patternType="solid">
        <fgColor rgb="FFFFFF87"/>
        <bgColor indexed="64"/>
      </patternFill>
    </fill>
    <fill>
      <patternFill patternType="solid">
        <fgColor rgb="FF875F00"/>
        <bgColor indexed="64"/>
      </patternFill>
    </fill>
    <fill>
      <patternFill patternType="solid">
        <fgColor rgb="FFAF8700"/>
        <bgColor indexed="64"/>
      </patternFill>
    </fill>
    <fill>
      <patternFill patternType="solid">
        <fgColor rgb="FFD7AF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FF5F"/>
        <bgColor indexed="64"/>
      </patternFill>
    </fill>
    <fill>
      <patternFill patternType="solid">
        <fgColor rgb="FF5F5F00"/>
        <bgColor indexed="64"/>
      </patternFill>
    </fill>
    <fill>
      <patternFill patternType="solid">
        <fgColor rgb="FF878700"/>
        <bgColor indexed="64"/>
      </patternFill>
    </fill>
    <fill>
      <patternFill patternType="solid">
        <fgColor rgb="FFAFAF00"/>
        <bgColor indexed="64"/>
      </patternFill>
    </fill>
    <fill>
      <patternFill patternType="solid">
        <fgColor rgb="FFD7D700"/>
        <bgColor indexed="64"/>
      </patternFill>
    </fill>
    <fill>
      <patternFill patternType="solid">
        <fgColor rgb="FF005F00"/>
        <bgColor indexed="64"/>
      </patternFill>
    </fill>
    <fill>
      <patternFill patternType="solid">
        <fgColor rgb="FF5F8700"/>
        <bgColor indexed="64"/>
      </patternFill>
    </fill>
    <fill>
      <patternFill patternType="solid">
        <fgColor rgb="FF87AF00"/>
        <bgColor indexed="64"/>
      </patternFill>
    </fill>
    <fill>
      <patternFill patternType="solid">
        <fgColor rgb="FFAFD7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008700"/>
        <bgColor indexed="64"/>
      </patternFill>
    </fill>
    <fill>
      <patternFill patternType="solid">
        <fgColor rgb="FF5FAF00"/>
        <bgColor indexed="64"/>
      </patternFill>
    </fill>
    <fill>
      <patternFill patternType="solid">
        <fgColor rgb="FF87D7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D7FF5F"/>
        <bgColor indexed="64"/>
      </patternFill>
    </fill>
    <fill>
      <patternFill patternType="solid">
        <fgColor rgb="FF00AF00"/>
        <bgColor indexed="64"/>
      </patternFill>
    </fill>
    <fill>
      <patternFill patternType="solid">
        <fgColor rgb="FF5FD7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AFFF5F"/>
        <bgColor indexed="64"/>
      </patternFill>
    </fill>
    <fill>
      <patternFill patternType="solid">
        <fgColor rgb="FFD7FF87"/>
        <bgColor indexed="64"/>
      </patternFill>
    </fill>
    <fill>
      <patternFill patternType="solid">
        <fgColor rgb="FF00D7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87FF5F"/>
        <bgColor indexed="64"/>
      </patternFill>
    </fill>
    <fill>
      <patternFill patternType="solid">
        <fgColor rgb="FFAFFF87"/>
        <bgColor indexed="64"/>
      </patternFill>
    </fill>
    <fill>
      <patternFill patternType="solid">
        <fgColor rgb="FFD7FFAF"/>
        <bgColor indexed="64"/>
      </patternFill>
    </fill>
    <fill>
      <patternFill patternType="solid">
        <fgColor rgb="FF5FFF5F"/>
        <bgColor indexed="64"/>
      </patternFill>
    </fill>
    <fill>
      <patternFill patternType="solid">
        <fgColor rgb="FF87FF87"/>
        <bgColor indexed="64"/>
      </patternFill>
    </fill>
    <fill>
      <patternFill patternType="solid">
        <fgColor rgb="FFAFFFAF"/>
        <bgColor indexed="64"/>
      </patternFill>
    </fill>
    <fill>
      <patternFill patternType="solid">
        <fgColor rgb="FFD7FFD7"/>
        <bgColor indexed="64"/>
      </patternFill>
    </fill>
    <fill>
      <patternFill patternType="solid">
        <fgColor rgb="FF00FF5F"/>
        <bgColor indexed="64"/>
      </patternFill>
    </fill>
    <fill>
      <patternFill patternType="solid">
        <fgColor rgb="FF5FFF87"/>
        <bgColor indexed="64"/>
      </patternFill>
    </fill>
    <fill>
      <patternFill patternType="solid">
        <fgColor rgb="FF87FFAF"/>
        <bgColor indexed="64"/>
      </patternFill>
    </fill>
    <fill>
      <patternFill patternType="solid">
        <fgColor rgb="FFAFFFD7"/>
        <bgColor indexed="64"/>
      </patternFill>
    </fill>
    <fill>
      <patternFill patternType="solid">
        <fgColor rgb="FFD7FFFF"/>
        <bgColor indexed="64"/>
      </patternFill>
    </fill>
    <fill>
      <patternFill patternType="solid">
        <fgColor rgb="FF00D75F"/>
        <bgColor indexed="64"/>
      </patternFill>
    </fill>
    <fill>
      <patternFill patternType="solid">
        <fgColor rgb="FF00FF87"/>
        <bgColor indexed="64"/>
      </patternFill>
    </fill>
    <fill>
      <patternFill patternType="solid">
        <fgColor rgb="FF5FFFAF"/>
        <bgColor indexed="64"/>
      </patternFill>
    </fill>
    <fill>
      <patternFill patternType="solid">
        <fgColor rgb="FF87FFD7"/>
        <bgColor indexed="64"/>
      </patternFill>
    </fill>
    <fill>
      <patternFill patternType="solid">
        <fgColor rgb="FFAFFFFF"/>
        <bgColor indexed="64"/>
      </patternFill>
    </fill>
    <fill>
      <patternFill patternType="solid">
        <fgColor rgb="FF00AF5F"/>
        <bgColor indexed="64"/>
      </patternFill>
    </fill>
    <fill>
      <patternFill patternType="solid">
        <fgColor rgb="FF00D787"/>
        <bgColor indexed="64"/>
      </patternFill>
    </fill>
    <fill>
      <patternFill patternType="solid">
        <fgColor rgb="FF00FFAF"/>
        <bgColor indexed="64"/>
      </patternFill>
    </fill>
    <fill>
      <patternFill patternType="solid">
        <fgColor rgb="FF5FFFD7"/>
        <bgColor indexed="64"/>
      </patternFill>
    </fill>
    <fill>
      <patternFill patternType="solid">
        <fgColor rgb="FF87FFFF"/>
        <bgColor indexed="64"/>
      </patternFill>
    </fill>
    <fill>
      <patternFill patternType="solid">
        <fgColor rgb="FF00875F"/>
        <bgColor indexed="64"/>
      </patternFill>
    </fill>
    <fill>
      <patternFill patternType="solid">
        <fgColor rgb="FF00AF87"/>
        <bgColor indexed="64"/>
      </patternFill>
    </fill>
    <fill>
      <patternFill patternType="solid">
        <fgColor rgb="FF00D7AF"/>
        <bgColor indexed="64"/>
      </patternFill>
    </fill>
    <fill>
      <patternFill patternType="solid">
        <fgColor rgb="FF00FFD7"/>
        <bgColor indexed="64"/>
      </patternFill>
    </fill>
    <fill>
      <patternFill patternType="solid">
        <fgColor rgb="FF5FFFFF"/>
        <bgColor indexed="64"/>
      </patternFill>
    </fill>
    <fill>
      <patternFill patternType="solid">
        <fgColor rgb="FF005F5F"/>
        <bgColor indexed="64"/>
      </patternFill>
    </fill>
    <fill>
      <patternFill patternType="solid">
        <fgColor rgb="FF008787"/>
        <bgColor indexed="64"/>
      </patternFill>
    </fill>
    <fill>
      <patternFill patternType="solid">
        <fgColor rgb="FF00AFAF"/>
        <bgColor indexed="64"/>
      </patternFill>
    </fill>
    <fill>
      <patternFill patternType="solid">
        <fgColor rgb="FF00D7D7"/>
        <bgColor indexed="64"/>
      </patternFill>
    </fill>
    <fill>
      <patternFill patternType="solid">
        <fgColor rgb="FF00005F"/>
        <bgColor indexed="64"/>
      </patternFill>
    </fill>
    <fill>
      <patternFill patternType="solid">
        <fgColor rgb="FF005F87"/>
        <bgColor indexed="64"/>
      </patternFill>
    </fill>
    <fill>
      <patternFill patternType="solid">
        <fgColor rgb="FF0087AF"/>
        <bgColor indexed="64"/>
      </patternFill>
    </fill>
    <fill>
      <patternFill patternType="solid">
        <fgColor rgb="FF00AFD7"/>
        <bgColor indexed="64"/>
      </patternFill>
    </fill>
    <fill>
      <patternFill patternType="solid">
        <fgColor rgb="FF00D7FF"/>
        <bgColor indexed="64"/>
      </patternFill>
    </fill>
    <fill>
      <patternFill patternType="solid">
        <fgColor rgb="FF000087"/>
        <bgColor indexed="64"/>
      </patternFill>
    </fill>
    <fill>
      <patternFill patternType="solid">
        <fgColor rgb="FF005FAF"/>
        <bgColor indexed="64"/>
      </patternFill>
    </fill>
    <fill>
      <patternFill patternType="solid">
        <fgColor rgb="FF0087D7"/>
        <bgColor indexed="64"/>
      </patternFill>
    </fill>
    <fill>
      <patternFill patternType="solid">
        <fgColor rgb="FF00AFFF"/>
        <bgColor indexed="64"/>
      </patternFill>
    </fill>
    <fill>
      <patternFill patternType="solid">
        <fgColor rgb="FF5FD7FF"/>
        <bgColor indexed="64"/>
      </patternFill>
    </fill>
    <fill>
      <patternFill patternType="solid">
        <fgColor rgb="FF0000AF"/>
        <bgColor indexed="64"/>
      </patternFill>
    </fill>
    <fill>
      <patternFill patternType="solid">
        <fgColor rgb="FF005FD7"/>
        <bgColor indexed="64"/>
      </patternFill>
    </fill>
    <fill>
      <patternFill patternType="solid">
        <fgColor rgb="FF0087FF"/>
        <bgColor indexed="64"/>
      </patternFill>
    </fill>
    <fill>
      <patternFill patternType="solid">
        <fgColor rgb="FF5FAFFF"/>
        <bgColor indexed="64"/>
      </patternFill>
    </fill>
    <fill>
      <patternFill patternType="solid">
        <fgColor rgb="FF87D7FF"/>
        <bgColor indexed="64"/>
      </patternFill>
    </fill>
    <fill>
      <patternFill patternType="solid">
        <fgColor rgb="FF0000D7"/>
        <bgColor indexed="64"/>
      </patternFill>
    </fill>
    <fill>
      <patternFill patternType="solid">
        <fgColor rgb="FF005FFF"/>
        <bgColor indexed="64"/>
      </patternFill>
    </fill>
    <fill>
      <patternFill patternType="solid">
        <fgColor rgb="FF5F87FF"/>
        <bgColor indexed="64"/>
      </patternFill>
    </fill>
    <fill>
      <patternFill patternType="solid">
        <fgColor rgb="FF87AFFF"/>
        <bgColor indexed="64"/>
      </patternFill>
    </fill>
    <fill>
      <patternFill patternType="solid">
        <fgColor rgb="FFAFD7FF"/>
        <bgColor indexed="64"/>
      </patternFill>
    </fill>
    <fill>
      <patternFill patternType="solid">
        <fgColor rgb="FF5F5FFF"/>
        <bgColor indexed="64"/>
      </patternFill>
    </fill>
    <fill>
      <patternFill patternType="solid">
        <fgColor rgb="FF8787FF"/>
        <bgColor indexed="64"/>
      </patternFill>
    </fill>
    <fill>
      <patternFill patternType="solid">
        <fgColor rgb="FFAFAFFF"/>
        <bgColor indexed="64"/>
      </patternFill>
    </fill>
    <fill>
      <patternFill patternType="solid">
        <fgColor rgb="FFD7D7FF"/>
        <bgColor indexed="64"/>
      </patternFill>
    </fill>
    <fill>
      <patternFill patternType="solid">
        <fgColor rgb="FF5F00FF"/>
        <bgColor indexed="64"/>
      </patternFill>
    </fill>
    <fill>
      <patternFill patternType="solid">
        <fgColor rgb="FF875FFF"/>
        <bgColor indexed="64"/>
      </patternFill>
    </fill>
    <fill>
      <patternFill patternType="solid">
        <fgColor rgb="FFAF87FF"/>
        <bgColor indexed="64"/>
      </patternFill>
    </fill>
    <fill>
      <patternFill patternType="solid">
        <fgColor rgb="FFD7AFFF"/>
        <bgColor indexed="64"/>
      </patternFill>
    </fill>
    <fill>
      <patternFill patternType="solid">
        <fgColor rgb="FFFFD7FF"/>
        <bgColor indexed="64"/>
      </patternFill>
    </fill>
    <fill>
      <patternFill patternType="solid">
        <fgColor rgb="FF5F00D7"/>
        <bgColor indexed="64"/>
      </patternFill>
    </fill>
    <fill>
      <patternFill patternType="solid">
        <fgColor rgb="FF8700FF"/>
        <bgColor indexed="64"/>
      </patternFill>
    </fill>
    <fill>
      <patternFill patternType="solid">
        <fgColor rgb="FFAF5FFF"/>
        <bgColor indexed="64"/>
      </patternFill>
    </fill>
    <fill>
      <patternFill patternType="solid">
        <fgColor rgb="FFD787FF"/>
        <bgColor indexed="64"/>
      </patternFill>
    </fill>
    <fill>
      <patternFill patternType="solid">
        <fgColor rgb="FFFFAFFF"/>
        <bgColor indexed="64"/>
      </patternFill>
    </fill>
    <fill>
      <patternFill patternType="solid">
        <fgColor rgb="FF5F00AF"/>
        <bgColor indexed="64"/>
      </patternFill>
    </fill>
    <fill>
      <patternFill patternType="solid">
        <fgColor rgb="FF8700D7"/>
        <bgColor indexed="64"/>
      </patternFill>
    </fill>
    <fill>
      <patternFill patternType="solid">
        <fgColor rgb="FFAF00FF"/>
        <bgColor indexed="64"/>
      </patternFill>
    </fill>
    <fill>
      <patternFill patternType="solid">
        <fgColor rgb="FFD75FFF"/>
        <bgColor indexed="64"/>
      </patternFill>
    </fill>
    <fill>
      <patternFill patternType="solid">
        <fgColor rgb="FFFF87FF"/>
        <bgColor indexed="64"/>
      </patternFill>
    </fill>
    <fill>
      <patternFill patternType="solid">
        <fgColor rgb="FF5F0087"/>
        <bgColor indexed="64"/>
      </patternFill>
    </fill>
    <fill>
      <patternFill patternType="solid">
        <fgColor rgb="FF8700AF"/>
        <bgColor indexed="64"/>
      </patternFill>
    </fill>
    <fill>
      <patternFill patternType="solid">
        <fgColor rgb="FFAF00D7"/>
        <bgColor indexed="64"/>
      </patternFill>
    </fill>
    <fill>
      <patternFill patternType="solid">
        <fgColor rgb="FFD700FF"/>
        <bgColor indexed="64"/>
      </patternFill>
    </fill>
    <fill>
      <patternFill patternType="solid">
        <fgColor rgb="FFFF5FFF"/>
        <bgColor indexed="64"/>
      </patternFill>
    </fill>
    <fill>
      <patternFill patternType="solid">
        <fgColor rgb="FF5F005F"/>
        <bgColor indexed="64"/>
      </patternFill>
    </fill>
    <fill>
      <patternFill patternType="solid">
        <fgColor rgb="FF870087"/>
        <bgColor indexed="64"/>
      </patternFill>
    </fill>
    <fill>
      <patternFill patternType="solid">
        <fgColor rgb="FFAF00AF"/>
        <bgColor indexed="64"/>
      </patternFill>
    </fill>
    <fill>
      <patternFill patternType="solid">
        <fgColor rgb="FFD700D7"/>
        <bgColor indexed="64"/>
      </patternFill>
    </fill>
    <fill>
      <patternFill patternType="solid">
        <fgColor rgb="FF87005F"/>
        <bgColor indexed="64"/>
      </patternFill>
    </fill>
    <fill>
      <patternFill patternType="solid">
        <fgColor rgb="FFAF0087"/>
        <bgColor indexed="64"/>
      </patternFill>
    </fill>
    <fill>
      <patternFill patternType="solid">
        <fgColor rgb="FFD700AF"/>
        <bgColor indexed="64"/>
      </patternFill>
    </fill>
    <fill>
      <patternFill patternType="solid">
        <fgColor rgb="FFFF00D7"/>
        <bgColor indexed="64"/>
      </patternFill>
    </fill>
    <fill>
      <patternFill patternType="solid">
        <fgColor rgb="FFAF005F"/>
        <bgColor indexed="64"/>
      </patternFill>
    </fill>
    <fill>
      <patternFill patternType="solid">
        <fgColor rgb="FFD70087"/>
        <bgColor indexed="64"/>
      </patternFill>
    </fill>
    <fill>
      <patternFill patternType="solid">
        <fgColor rgb="FFFF00AF"/>
        <bgColor indexed="64"/>
      </patternFill>
    </fill>
    <fill>
      <patternFill patternType="solid">
        <fgColor rgb="FFFF5FD7"/>
        <bgColor indexed="64"/>
      </patternFill>
    </fill>
    <fill>
      <patternFill patternType="solid">
        <fgColor rgb="FFD7005F"/>
        <bgColor indexed="64"/>
      </patternFill>
    </fill>
    <fill>
      <patternFill patternType="solid">
        <fgColor rgb="FFFF0087"/>
        <bgColor indexed="64"/>
      </patternFill>
    </fill>
    <fill>
      <patternFill patternType="solid">
        <fgColor rgb="FFFF5FAF"/>
        <bgColor indexed="64"/>
      </patternFill>
    </fill>
    <fill>
      <patternFill patternType="solid">
        <fgColor rgb="FFFF87D7"/>
        <bgColor indexed="64"/>
      </patternFill>
    </fill>
    <fill>
      <patternFill patternType="solid">
        <fgColor rgb="FFFF005F"/>
        <bgColor indexed="64"/>
      </patternFill>
    </fill>
    <fill>
      <patternFill patternType="solid">
        <fgColor rgb="FFFF5F87"/>
        <bgColor indexed="64"/>
      </patternFill>
    </fill>
    <fill>
      <patternFill patternType="solid">
        <fgColor rgb="FFFF87AF"/>
        <bgColor indexed="64"/>
      </patternFill>
    </fill>
    <fill>
      <patternFill patternType="solid">
        <fgColor rgb="FFFFAFD7"/>
        <bgColor indexed="64"/>
      </patternFill>
    </fill>
  </fills>
  <borders count="9">
    <border>
      <left/>
      <right/>
      <top/>
      <bottom/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/>
      <top/>
      <bottom/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/>
      <right/>
      <top/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</borders>
  <cellStyleXfs count="1">
    <xf numFmtId="0" fontId="0" fillId="0" borderId="0"/>
  </cellStyleXfs>
  <cellXfs count="416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2" fillId="0" borderId="0" xfId="0" applyFont="1"/>
    <xf numFmtId="0" fontId="3" fillId="0" borderId="0" xfId="0" applyFont="1"/>
    <xf numFmtId="0" fontId="4" fillId="248" borderId="0" xfId="0" applyFont="1" applyFill="1" applyAlignment="1">
      <alignment horizontal="center" vertical="center" wrapText="1"/>
    </xf>
    <xf numFmtId="0" fontId="4" fillId="249" borderId="0" xfId="0" applyFont="1" applyFill="1" applyAlignment="1">
      <alignment horizontal="center" vertical="center" wrapText="1"/>
    </xf>
    <xf numFmtId="0" fontId="4" fillId="250" borderId="0" xfId="0" applyFont="1" applyFill="1" applyAlignment="1">
      <alignment horizontal="center" vertical="center" wrapText="1"/>
    </xf>
    <xf numFmtId="0" fontId="4" fillId="251" borderId="0" xfId="0" applyFont="1" applyFill="1" applyAlignment="1">
      <alignment horizontal="center" vertical="center" wrapText="1"/>
    </xf>
    <xf numFmtId="0" fontId="5" fillId="256" borderId="0" xfId="0" applyFont="1" applyFill="1" applyAlignment="1">
      <alignment horizontal="center" vertical="center" wrapText="1"/>
    </xf>
    <xf numFmtId="0" fontId="5" fillId="257" borderId="0" xfId="0" applyFont="1" applyFill="1" applyAlignment="1">
      <alignment horizontal="center" vertical="center" wrapText="1"/>
    </xf>
    <xf numFmtId="0" fontId="5" fillId="258" borderId="0" xfId="0" applyFont="1" applyFill="1" applyAlignment="1">
      <alignment horizontal="center" vertical="center" wrapText="1"/>
    </xf>
    <xf numFmtId="0" fontId="5" fillId="259" borderId="0" xfId="0" applyFont="1" applyFill="1" applyAlignment="1">
      <alignment horizontal="center" vertical="center" wrapText="1"/>
    </xf>
    <xf numFmtId="0" fontId="5" fillId="260" borderId="0" xfId="0" applyFont="1" applyFill="1" applyAlignment="1">
      <alignment horizontal="center" vertical="center" wrapText="1"/>
    </xf>
    <xf numFmtId="0" fontId="5" fillId="261" borderId="0" xfId="0" applyFont="1" applyFill="1" applyAlignment="1">
      <alignment horizontal="center" vertical="center" wrapText="1"/>
    </xf>
    <xf numFmtId="0" fontId="5" fillId="262" borderId="0" xfId="0" applyFont="1" applyFill="1" applyAlignment="1">
      <alignment horizontal="center" vertical="center" wrapText="1"/>
    </xf>
    <xf numFmtId="0" fontId="5" fillId="263" borderId="0" xfId="0" applyFont="1" applyFill="1" applyAlignment="1">
      <alignment horizontal="center" vertical="center" wrapText="1"/>
    </xf>
    <xf numFmtId="0" fontId="5" fillId="264" borderId="0" xfId="0" applyFont="1" applyFill="1" applyAlignment="1">
      <alignment horizontal="center" vertical="center" wrapText="1"/>
    </xf>
    <xf numFmtId="0" fontId="5" fillId="265" borderId="0" xfId="0" applyFont="1" applyFill="1" applyAlignment="1">
      <alignment horizontal="center" vertical="center" wrapText="1"/>
    </xf>
    <xf numFmtId="0" fontId="5" fillId="266" borderId="0" xfId="0" applyFont="1" applyFill="1" applyAlignment="1">
      <alignment horizontal="center" vertical="center" wrapText="1"/>
    </xf>
    <xf numFmtId="0" fontId="5" fillId="267" borderId="0" xfId="0" applyFont="1" applyFill="1" applyAlignment="1">
      <alignment horizontal="center" vertical="center" wrapText="1"/>
    </xf>
    <xf numFmtId="0" fontId="5" fillId="268" borderId="0" xfId="0" applyFont="1" applyFill="1" applyAlignment="1">
      <alignment horizontal="center" vertical="center" wrapText="1"/>
    </xf>
    <xf numFmtId="0" fontId="5" fillId="269" borderId="0" xfId="0" applyFont="1" applyFill="1" applyAlignment="1">
      <alignment horizontal="center" vertical="center" wrapText="1"/>
    </xf>
    <xf numFmtId="0" fontId="5" fillId="270" borderId="0" xfId="0" applyFont="1" applyFill="1" applyAlignment="1">
      <alignment horizontal="center" vertical="center" wrapText="1"/>
    </xf>
    <xf numFmtId="0" fontId="5" fillId="271" borderId="0" xfId="0" applyFont="1" applyFill="1" applyAlignment="1">
      <alignment horizontal="center" vertical="center" wrapText="1"/>
    </xf>
    <xf numFmtId="0" fontId="5" fillId="272" borderId="0" xfId="0" applyFont="1" applyFill="1" applyAlignment="1">
      <alignment horizontal="center" vertical="center" wrapText="1"/>
    </xf>
    <xf numFmtId="0" fontId="5" fillId="273" borderId="0" xfId="0" applyFont="1" applyFill="1" applyAlignment="1">
      <alignment horizontal="center" vertical="center" wrapText="1"/>
    </xf>
    <xf numFmtId="0" fontId="5" fillId="274" borderId="0" xfId="0" applyFont="1" applyFill="1" applyAlignment="1">
      <alignment horizontal="center" vertical="center" wrapText="1"/>
    </xf>
    <xf numFmtId="0" fontId="5" fillId="275" borderId="0" xfId="0" applyFont="1" applyFill="1" applyAlignment="1">
      <alignment horizontal="center" vertical="center" wrapText="1"/>
    </xf>
    <xf numFmtId="0" fontId="5" fillId="276" borderId="0" xfId="0" applyFont="1" applyFill="1" applyAlignment="1">
      <alignment horizontal="center" vertical="center" wrapText="1"/>
    </xf>
    <xf numFmtId="0" fontId="5" fillId="277" borderId="0" xfId="0" applyFont="1" applyFill="1" applyAlignment="1">
      <alignment horizontal="center" vertical="center" wrapText="1"/>
    </xf>
    <xf numFmtId="0" fontId="5" fillId="278" borderId="0" xfId="0" applyFont="1" applyFill="1" applyAlignment="1">
      <alignment horizontal="center" vertical="center" wrapText="1"/>
    </xf>
    <xf numFmtId="0" fontId="5" fillId="279" borderId="0" xfId="0" applyFont="1" applyFill="1" applyAlignment="1">
      <alignment horizontal="center" vertical="center" wrapText="1"/>
    </xf>
    <xf numFmtId="0" fontId="5" fillId="138" borderId="0" xfId="0" applyFont="1" applyFill="1" applyAlignment="1">
      <alignment horizontal="center" vertical="center" wrapText="1"/>
    </xf>
    <xf numFmtId="0" fontId="4" fillId="280" borderId="0" xfId="0" applyFont="1" applyFill="1" applyAlignment="1">
      <alignment horizontal="center" vertical="center" wrapText="1"/>
    </xf>
    <xf numFmtId="0" fontId="5" fillId="281" borderId="0" xfId="0" applyFont="1" applyFill="1" applyAlignment="1">
      <alignment horizontal="center" vertical="center" wrapText="1"/>
    </xf>
    <xf numFmtId="0" fontId="5" fillId="282" borderId="0" xfId="0" applyFont="1" applyFill="1" applyAlignment="1">
      <alignment horizontal="center" vertical="center" wrapText="1"/>
    </xf>
    <xf numFmtId="0" fontId="5" fillId="283" borderId="0" xfId="0" applyFont="1" applyFill="1" applyAlignment="1">
      <alignment horizontal="center" vertical="center" wrapText="1"/>
    </xf>
    <xf numFmtId="0" fontId="5" fillId="284" borderId="0" xfId="0" applyFont="1" applyFill="1" applyAlignment="1">
      <alignment horizontal="center" vertical="center" wrapText="1"/>
    </xf>
    <xf numFmtId="0" fontId="4" fillId="26" borderId="1" xfId="0" applyFont="1" applyFill="1" applyBorder="1" applyAlignment="1">
      <alignment horizontal="center" vertical="center" wrapText="1"/>
    </xf>
    <xf numFmtId="0" fontId="4" fillId="248" borderId="2" xfId="0" applyFont="1" applyFill="1" applyBorder="1" applyAlignment="1">
      <alignment horizontal="center" vertical="center" wrapText="1"/>
    </xf>
    <xf numFmtId="0" fontId="4" fillId="249" borderId="2" xfId="0" applyFont="1" applyFill="1" applyBorder="1" applyAlignment="1">
      <alignment horizontal="center" vertical="center" wrapText="1"/>
    </xf>
    <xf numFmtId="0" fontId="4" fillId="250" borderId="2" xfId="0" applyFont="1" applyFill="1" applyBorder="1" applyAlignment="1">
      <alignment horizontal="center" vertical="center" wrapText="1"/>
    </xf>
    <xf numFmtId="0" fontId="4" fillId="251" borderId="2" xfId="0" applyFont="1" applyFill="1" applyBorder="1" applyAlignment="1">
      <alignment horizontal="center" vertical="center" wrapText="1"/>
    </xf>
    <xf numFmtId="0" fontId="5" fillId="139" borderId="2" xfId="0" applyFont="1" applyFill="1" applyBorder="1" applyAlignment="1">
      <alignment horizontal="center" vertical="center" wrapText="1"/>
    </xf>
    <xf numFmtId="0" fontId="5" fillId="252" borderId="2" xfId="0" applyFont="1" applyFill="1" applyBorder="1" applyAlignment="1">
      <alignment horizontal="center" vertical="center" wrapText="1"/>
    </xf>
    <xf numFmtId="0" fontId="5" fillId="253" borderId="2" xfId="0" applyFont="1" applyFill="1" applyBorder="1" applyAlignment="1">
      <alignment horizontal="center" vertical="center" wrapText="1"/>
    </xf>
    <xf numFmtId="0" fontId="5" fillId="254" borderId="2" xfId="0" applyFont="1" applyFill="1" applyBorder="1" applyAlignment="1">
      <alignment horizontal="center" vertical="center" wrapText="1"/>
    </xf>
    <xf numFmtId="0" fontId="5" fillId="255" borderId="2" xfId="0" applyFont="1" applyFill="1" applyBorder="1" applyAlignment="1">
      <alignment horizontal="center" vertical="center" wrapText="1"/>
    </xf>
    <xf numFmtId="0" fontId="5" fillId="27" borderId="3" xfId="0" applyFont="1" applyFill="1" applyBorder="1" applyAlignment="1">
      <alignment horizontal="center" vertical="center" wrapText="1"/>
    </xf>
    <xf numFmtId="0" fontId="4" fillId="26" borderId="4" xfId="0" applyFont="1" applyFill="1" applyBorder="1" applyAlignment="1">
      <alignment horizontal="center" vertical="center" wrapText="1"/>
    </xf>
    <xf numFmtId="0" fontId="5" fillId="27" borderId="5" xfId="0" applyFont="1" applyFill="1" applyBorder="1" applyAlignment="1">
      <alignment horizontal="center" vertical="center" wrapText="1"/>
    </xf>
    <xf numFmtId="0" fontId="4" fillId="26" borderId="6" xfId="0" applyFont="1" applyFill="1" applyBorder="1" applyAlignment="1">
      <alignment horizontal="center" vertical="center" wrapText="1"/>
    </xf>
    <xf numFmtId="0" fontId="5" fillId="27" borderId="8" xfId="0" applyFont="1" applyFill="1" applyBorder="1" applyAlignment="1">
      <alignment horizontal="center" vertical="center" wrapText="1"/>
    </xf>
    <xf numFmtId="0" fontId="5" fillId="285" borderId="0" xfId="0" applyFont="1" applyFill="1" applyAlignment="1">
      <alignment horizontal="center" vertical="center" wrapText="1"/>
    </xf>
    <xf numFmtId="0" fontId="5" fillId="286" borderId="0" xfId="0" applyFont="1" applyFill="1" applyAlignment="1">
      <alignment horizontal="center" vertical="center" wrapText="1"/>
    </xf>
    <xf numFmtId="0" fontId="5" fillId="287" borderId="0" xfId="0" applyFont="1" applyFill="1" applyAlignment="1">
      <alignment horizontal="center" vertical="center" wrapText="1"/>
    </xf>
    <xf numFmtId="0" fontId="5" fillId="288" borderId="0" xfId="0" applyFont="1" applyFill="1" applyAlignment="1">
      <alignment horizontal="center" vertical="center" wrapText="1"/>
    </xf>
    <xf numFmtId="0" fontId="5" fillId="289" borderId="0" xfId="0" applyFont="1" applyFill="1" applyAlignment="1">
      <alignment horizontal="center" vertical="center" wrapText="1"/>
    </xf>
    <xf numFmtId="0" fontId="5" fillId="290" borderId="0" xfId="0" applyFont="1" applyFill="1" applyAlignment="1">
      <alignment horizontal="center" vertical="center" wrapText="1"/>
    </xf>
    <xf numFmtId="0" fontId="5" fillId="291" borderId="0" xfId="0" applyFont="1" applyFill="1" applyAlignment="1">
      <alignment horizontal="center" vertical="center" wrapText="1"/>
    </xf>
    <xf numFmtId="0" fontId="5" fillId="292" borderId="0" xfId="0" applyFont="1" applyFill="1" applyAlignment="1">
      <alignment horizontal="center" vertical="center" wrapText="1"/>
    </xf>
    <xf numFmtId="0" fontId="5" fillId="293" borderId="0" xfId="0" applyFont="1" applyFill="1" applyAlignment="1">
      <alignment horizontal="center" vertical="center" wrapText="1"/>
    </xf>
    <xf numFmtId="0" fontId="5" fillId="294" borderId="0" xfId="0" applyFont="1" applyFill="1" applyAlignment="1">
      <alignment horizontal="center" vertical="center" wrapText="1"/>
    </xf>
    <xf numFmtId="0" fontId="5" fillId="295" borderId="0" xfId="0" applyFont="1" applyFill="1" applyAlignment="1">
      <alignment horizontal="center" vertical="center" wrapText="1"/>
    </xf>
    <xf numFmtId="0" fontId="5" fillId="296" borderId="0" xfId="0" applyFont="1" applyFill="1" applyAlignment="1">
      <alignment horizontal="center" vertical="center" wrapText="1"/>
    </xf>
    <xf numFmtId="0" fontId="5" fillId="297" borderId="0" xfId="0" applyFont="1" applyFill="1" applyAlignment="1">
      <alignment horizontal="center" vertical="center" wrapText="1"/>
    </xf>
    <xf numFmtId="0" fontId="5" fillId="298" borderId="0" xfId="0" applyFont="1" applyFill="1" applyAlignment="1">
      <alignment horizontal="center" vertical="center" wrapText="1"/>
    </xf>
    <xf numFmtId="0" fontId="5" fillId="299" borderId="0" xfId="0" applyFont="1" applyFill="1" applyAlignment="1">
      <alignment horizontal="center" vertical="center" wrapText="1"/>
    </xf>
    <xf numFmtId="0" fontId="5" fillId="28" borderId="0" xfId="0" applyFont="1" applyFill="1" applyAlignment="1">
      <alignment horizontal="center" vertical="center" wrapText="1"/>
    </xf>
    <xf numFmtId="0" fontId="5" fillId="300" borderId="0" xfId="0" applyFont="1" applyFill="1" applyAlignment="1">
      <alignment horizontal="center" vertical="center" wrapText="1"/>
    </xf>
    <xf numFmtId="0" fontId="5" fillId="301" borderId="0" xfId="0" applyFont="1" applyFill="1" applyAlignment="1">
      <alignment horizontal="center" vertical="center" wrapText="1"/>
    </xf>
    <xf numFmtId="0" fontId="5" fillId="302" borderId="0" xfId="0" applyFont="1" applyFill="1" applyAlignment="1">
      <alignment horizontal="center" vertical="center" wrapText="1"/>
    </xf>
    <xf numFmtId="0" fontId="5" fillId="303" borderId="0" xfId="0" applyFont="1" applyFill="1" applyAlignment="1">
      <alignment horizontal="center" vertical="center" wrapText="1"/>
    </xf>
    <xf numFmtId="0" fontId="5" fillId="304" borderId="0" xfId="0" applyFont="1" applyFill="1" applyAlignment="1">
      <alignment horizontal="center" vertical="center" wrapText="1"/>
    </xf>
    <xf numFmtId="0" fontId="5" fillId="305" borderId="0" xfId="0" applyFont="1" applyFill="1" applyAlignment="1">
      <alignment horizontal="center" vertical="center" wrapText="1"/>
    </xf>
    <xf numFmtId="0" fontId="5" fillId="306" borderId="0" xfId="0" applyFont="1" applyFill="1" applyAlignment="1">
      <alignment horizontal="center" vertical="center" wrapText="1"/>
    </xf>
    <xf numFmtId="0" fontId="5" fillId="307" borderId="0" xfId="0" applyFont="1" applyFill="1" applyAlignment="1">
      <alignment horizontal="center" vertical="center" wrapText="1"/>
    </xf>
    <xf numFmtId="0" fontId="5" fillId="308" borderId="0" xfId="0" applyFont="1" applyFill="1" applyAlignment="1">
      <alignment horizontal="center" vertical="center" wrapText="1"/>
    </xf>
    <xf numFmtId="0" fontId="5" fillId="309" borderId="0" xfId="0" applyFont="1" applyFill="1" applyAlignment="1">
      <alignment horizontal="center" vertical="center" wrapText="1"/>
    </xf>
    <xf numFmtId="0" fontId="5" fillId="310" borderId="0" xfId="0" applyFont="1" applyFill="1" applyAlignment="1">
      <alignment horizontal="center" vertical="center" wrapText="1"/>
    </xf>
    <xf numFmtId="0" fontId="5" fillId="311" borderId="0" xfId="0" applyFont="1" applyFill="1" applyAlignment="1">
      <alignment horizontal="center" vertical="center" wrapText="1"/>
    </xf>
    <xf numFmtId="0" fontId="5" fillId="312" borderId="0" xfId="0" applyFont="1" applyFill="1" applyAlignment="1">
      <alignment horizontal="center" vertical="center" wrapText="1"/>
    </xf>
    <xf numFmtId="0" fontId="5" fillId="313" borderId="0" xfId="0" applyFont="1" applyFill="1" applyAlignment="1">
      <alignment horizontal="center" vertical="center" wrapText="1"/>
    </xf>
    <xf numFmtId="0" fontId="5" fillId="314" borderId="0" xfId="0" applyFont="1" applyFill="1" applyAlignment="1">
      <alignment horizontal="center" vertical="center" wrapText="1"/>
    </xf>
    <xf numFmtId="0" fontId="5" fillId="315" borderId="0" xfId="0" applyFont="1" applyFill="1" applyAlignment="1">
      <alignment horizontal="center" vertical="center" wrapText="1"/>
    </xf>
    <xf numFmtId="0" fontId="5" fillId="316" borderId="0" xfId="0" applyFont="1" applyFill="1" applyAlignment="1">
      <alignment horizontal="center" vertical="center" wrapText="1"/>
    </xf>
    <xf numFmtId="0" fontId="5" fillId="317" borderId="0" xfId="0" applyFont="1" applyFill="1" applyAlignment="1">
      <alignment horizontal="center" vertical="center" wrapText="1"/>
    </xf>
    <xf numFmtId="0" fontId="5" fillId="318" borderId="0" xfId="0" applyFont="1" applyFill="1" applyAlignment="1">
      <alignment horizontal="center" vertical="center" wrapText="1"/>
    </xf>
    <xf numFmtId="0" fontId="5" fillId="319" borderId="0" xfId="0" applyFont="1" applyFill="1" applyAlignment="1">
      <alignment horizontal="center" vertical="center" wrapText="1"/>
    </xf>
    <xf numFmtId="0" fontId="5" fillId="320" borderId="0" xfId="0" applyFont="1" applyFill="1" applyAlignment="1">
      <alignment horizontal="center" vertical="center" wrapText="1"/>
    </xf>
    <xf numFmtId="0" fontId="5" fillId="321" borderId="0" xfId="0" applyFont="1" applyFill="1" applyAlignment="1">
      <alignment horizontal="center" vertical="center" wrapText="1"/>
    </xf>
    <xf numFmtId="0" fontId="5" fillId="322" borderId="0" xfId="0" applyFont="1" applyFill="1" applyAlignment="1">
      <alignment horizontal="center" vertical="center" wrapText="1"/>
    </xf>
    <xf numFmtId="0" fontId="5" fillId="323" borderId="0" xfId="0" applyFont="1" applyFill="1" applyAlignment="1">
      <alignment horizontal="center" vertical="center" wrapText="1"/>
    </xf>
    <xf numFmtId="0" fontId="4" fillId="324" borderId="0" xfId="0" applyFont="1" applyFill="1" applyAlignment="1">
      <alignment horizontal="center" vertical="center" wrapText="1"/>
    </xf>
    <xf numFmtId="0" fontId="5" fillId="325" borderId="0" xfId="0" applyFont="1" applyFill="1" applyAlignment="1">
      <alignment horizontal="center" vertical="center" wrapText="1"/>
    </xf>
    <xf numFmtId="0" fontId="5" fillId="326" borderId="0" xfId="0" applyFont="1" applyFill="1" applyAlignment="1">
      <alignment horizontal="center" vertical="center" wrapText="1"/>
    </xf>
    <xf numFmtId="0" fontId="5" fillId="327" borderId="0" xfId="0" applyFont="1" applyFill="1" applyAlignment="1">
      <alignment horizontal="center" vertical="center" wrapText="1"/>
    </xf>
    <xf numFmtId="0" fontId="5" fillId="30" borderId="0" xfId="0" applyFont="1" applyFill="1" applyAlignment="1">
      <alignment horizontal="center" vertical="center" wrapText="1"/>
    </xf>
    <xf numFmtId="0" fontId="4" fillId="328" borderId="0" xfId="0" applyFont="1" applyFill="1" applyAlignment="1">
      <alignment horizontal="center" vertical="center" wrapText="1"/>
    </xf>
    <xf numFmtId="0" fontId="5" fillId="329" borderId="0" xfId="0" applyFont="1" applyFill="1" applyAlignment="1">
      <alignment horizontal="center" vertical="center" wrapText="1"/>
    </xf>
    <xf numFmtId="0" fontId="5" fillId="330" borderId="0" xfId="0" applyFont="1" applyFill="1" applyAlignment="1">
      <alignment horizontal="center" vertical="center" wrapText="1"/>
    </xf>
    <xf numFmtId="0" fontId="5" fillId="331" borderId="0" xfId="0" applyFont="1" applyFill="1" applyAlignment="1">
      <alignment horizontal="center" vertical="center" wrapText="1"/>
    </xf>
    <xf numFmtId="0" fontId="5" fillId="332" borderId="0" xfId="0" applyFont="1" applyFill="1" applyAlignment="1">
      <alignment horizontal="center" vertical="center" wrapText="1"/>
    </xf>
    <xf numFmtId="0" fontId="4" fillId="333" borderId="0" xfId="0" applyFont="1" applyFill="1" applyAlignment="1">
      <alignment horizontal="center" vertical="center" wrapText="1"/>
    </xf>
    <xf numFmtId="0" fontId="5" fillId="334" borderId="0" xfId="0" applyFont="1" applyFill="1" applyAlignment="1">
      <alignment horizontal="center" vertical="center" wrapText="1"/>
    </xf>
    <xf numFmtId="0" fontId="5" fillId="335" borderId="0" xfId="0" applyFont="1" applyFill="1" applyAlignment="1">
      <alignment horizontal="center" vertical="center" wrapText="1"/>
    </xf>
    <xf numFmtId="0" fontId="5" fillId="336" borderId="0" xfId="0" applyFont="1" applyFill="1" applyAlignment="1">
      <alignment horizontal="center" vertical="center" wrapText="1"/>
    </xf>
    <xf numFmtId="0" fontId="5" fillId="337" borderId="0" xfId="0" applyFont="1" applyFill="1" applyAlignment="1">
      <alignment horizontal="center" vertical="center" wrapText="1"/>
    </xf>
    <xf numFmtId="0" fontId="4" fillId="338" borderId="0" xfId="0" applyFont="1" applyFill="1" applyAlignment="1">
      <alignment horizontal="center" vertical="center" wrapText="1"/>
    </xf>
    <xf numFmtId="0" fontId="5" fillId="339" borderId="0" xfId="0" applyFont="1" applyFill="1" applyAlignment="1">
      <alignment horizontal="center" vertical="center" wrapText="1"/>
    </xf>
    <xf numFmtId="0" fontId="5" fillId="340" borderId="0" xfId="0" applyFont="1" applyFill="1" applyAlignment="1">
      <alignment horizontal="center" vertical="center" wrapText="1"/>
    </xf>
    <xf numFmtId="0" fontId="5" fillId="341" borderId="0" xfId="0" applyFont="1" applyFill="1" applyAlignment="1">
      <alignment horizontal="center" vertical="center" wrapText="1"/>
    </xf>
    <xf numFmtId="0" fontId="5" fillId="342" borderId="0" xfId="0" applyFont="1" applyFill="1" applyAlignment="1">
      <alignment horizontal="center" vertical="center" wrapText="1"/>
    </xf>
    <xf numFmtId="0" fontId="4" fillId="343" borderId="0" xfId="0" applyFont="1" applyFill="1" applyAlignment="1">
      <alignment horizontal="center" vertical="center" wrapText="1"/>
    </xf>
    <xf numFmtId="0" fontId="5" fillId="344" borderId="0" xfId="0" applyFont="1" applyFill="1" applyAlignment="1">
      <alignment horizontal="center" vertical="center" wrapText="1"/>
    </xf>
    <xf numFmtId="0" fontId="5" fillId="345" borderId="0" xfId="0" applyFont="1" applyFill="1" applyAlignment="1">
      <alignment horizontal="center" vertical="center" wrapText="1"/>
    </xf>
    <xf numFmtId="0" fontId="5" fillId="346" borderId="0" xfId="0" applyFont="1" applyFill="1" applyAlignment="1">
      <alignment horizontal="center" vertical="center" wrapText="1"/>
    </xf>
    <xf numFmtId="0" fontId="5" fillId="347" borderId="0" xfId="0" applyFont="1" applyFill="1" applyAlignment="1">
      <alignment horizontal="center" vertical="center" wrapText="1"/>
    </xf>
    <xf numFmtId="0" fontId="4" fillId="29" borderId="0" xfId="0" applyFont="1" applyFill="1" applyAlignment="1">
      <alignment horizontal="center" vertical="center" wrapText="1"/>
    </xf>
    <xf numFmtId="0" fontId="5" fillId="348" borderId="0" xfId="0" applyFont="1" applyFill="1" applyAlignment="1">
      <alignment horizontal="center" vertical="center" wrapText="1"/>
    </xf>
    <xf numFmtId="0" fontId="5" fillId="349" borderId="0" xfId="0" applyFont="1" applyFill="1" applyAlignment="1">
      <alignment horizontal="center" vertical="center" wrapText="1"/>
    </xf>
    <xf numFmtId="0" fontId="5" fillId="350" borderId="0" xfId="0" applyFont="1" applyFill="1" applyAlignment="1">
      <alignment horizontal="center" vertical="center" wrapText="1"/>
    </xf>
    <xf numFmtId="0" fontId="5" fillId="351" borderId="0" xfId="0" applyFont="1" applyFill="1" applyAlignment="1">
      <alignment horizontal="center" vertical="center" wrapText="1"/>
    </xf>
    <xf numFmtId="0" fontId="4" fillId="352" borderId="0" xfId="0" applyFont="1" applyFill="1" applyAlignment="1">
      <alignment horizontal="center" vertical="center" wrapText="1"/>
    </xf>
    <xf numFmtId="0" fontId="5" fillId="353" borderId="0" xfId="0" applyFont="1" applyFill="1" applyAlignment="1">
      <alignment horizontal="center" vertical="center" wrapText="1"/>
    </xf>
    <xf numFmtId="0" fontId="5" fillId="354" borderId="0" xfId="0" applyFont="1" applyFill="1" applyAlignment="1">
      <alignment horizontal="center" vertical="center" wrapText="1"/>
    </xf>
    <xf numFmtId="0" fontId="5" fillId="355" borderId="0" xfId="0" applyFont="1" applyFill="1" applyAlignment="1">
      <alignment horizontal="center" vertical="center" wrapText="1"/>
    </xf>
    <xf numFmtId="0" fontId="5" fillId="356" borderId="0" xfId="0" applyFont="1" applyFill="1" applyAlignment="1">
      <alignment horizontal="center" vertical="center" wrapText="1"/>
    </xf>
    <xf numFmtId="0" fontId="4" fillId="357" borderId="0" xfId="0" applyFont="1" applyFill="1" applyAlignment="1">
      <alignment horizontal="center" vertical="center" wrapText="1"/>
    </xf>
    <xf numFmtId="0" fontId="4" fillId="358" borderId="0" xfId="0" applyFont="1" applyFill="1" applyAlignment="1">
      <alignment horizontal="center" vertical="center" wrapText="1"/>
    </xf>
    <xf numFmtId="0" fontId="5" fillId="359" borderId="0" xfId="0" applyFont="1" applyFill="1" applyAlignment="1">
      <alignment horizontal="center" vertical="center" wrapText="1"/>
    </xf>
    <xf numFmtId="0" fontId="5" fillId="360" borderId="0" xfId="0" applyFont="1" applyFill="1" applyAlignment="1">
      <alignment horizontal="center" vertical="center" wrapText="1"/>
    </xf>
    <xf numFmtId="0" fontId="5" fillId="361" borderId="0" xfId="0" applyFont="1" applyFill="1" applyAlignment="1">
      <alignment horizontal="center" vertical="center" wrapText="1"/>
    </xf>
    <xf numFmtId="0" fontId="4" fillId="362" borderId="0" xfId="0" applyFont="1" applyFill="1" applyAlignment="1">
      <alignment horizontal="center" vertical="center" wrapText="1"/>
    </xf>
    <xf numFmtId="0" fontId="4" fillId="363" borderId="0" xfId="0" applyFont="1" applyFill="1" applyAlignment="1">
      <alignment horizontal="center" vertical="center" wrapText="1"/>
    </xf>
    <xf numFmtId="0" fontId="5" fillId="364" borderId="0" xfId="0" applyFont="1" applyFill="1" applyAlignment="1">
      <alignment horizontal="center" vertical="center" wrapText="1"/>
    </xf>
    <xf numFmtId="0" fontId="5" fillId="365" borderId="0" xfId="0" applyFont="1" applyFill="1" applyAlignment="1">
      <alignment horizontal="center" vertical="center" wrapText="1"/>
    </xf>
    <xf numFmtId="0" fontId="5" fillId="366" borderId="0" xfId="0" applyFont="1" applyFill="1" applyAlignment="1">
      <alignment horizontal="center" vertical="center" wrapText="1"/>
    </xf>
    <xf numFmtId="0" fontId="4" fillId="367" borderId="0" xfId="0" applyFont="1" applyFill="1" applyAlignment="1">
      <alignment horizontal="center" vertical="center" wrapText="1"/>
    </xf>
    <xf numFmtId="0" fontId="4" fillId="368" borderId="0" xfId="0" applyFont="1" applyFill="1" applyAlignment="1">
      <alignment horizontal="center" vertical="center" wrapText="1"/>
    </xf>
    <xf numFmtId="0" fontId="5" fillId="369" borderId="0" xfId="0" applyFont="1" applyFill="1" applyAlignment="1">
      <alignment horizontal="center" vertical="center" wrapText="1"/>
    </xf>
    <xf numFmtId="0" fontId="5" fillId="370" borderId="0" xfId="0" applyFont="1" applyFill="1" applyAlignment="1">
      <alignment horizontal="center" vertical="center" wrapText="1"/>
    </xf>
    <xf numFmtId="0" fontId="5" fillId="371" borderId="0" xfId="0" applyFont="1" applyFill="1" applyAlignment="1">
      <alignment horizontal="center" vertical="center" wrapText="1"/>
    </xf>
    <xf numFmtId="0" fontId="4" fillId="372" borderId="0" xfId="0" applyFont="1" applyFill="1" applyAlignment="1">
      <alignment horizontal="center" vertical="center" wrapText="1"/>
    </xf>
    <xf numFmtId="0" fontId="4" fillId="373" borderId="0" xfId="0" applyFont="1" applyFill="1" applyAlignment="1">
      <alignment horizontal="center" vertical="center" wrapText="1"/>
    </xf>
    <xf numFmtId="0" fontId="5" fillId="374" borderId="0" xfId="0" applyFont="1" applyFill="1" applyAlignment="1">
      <alignment horizontal="center" vertical="center" wrapText="1"/>
    </xf>
    <xf numFmtId="0" fontId="5" fillId="375" borderId="0" xfId="0" applyFont="1" applyFill="1" applyAlignment="1">
      <alignment horizontal="center" vertical="center" wrapText="1"/>
    </xf>
    <xf numFmtId="0" fontId="5" fillId="123" borderId="0" xfId="0" applyFont="1" applyFill="1" applyAlignment="1">
      <alignment horizontal="center" vertical="center" wrapText="1"/>
    </xf>
    <xf numFmtId="0" fontId="4" fillId="376" borderId="0" xfId="0" applyFont="1" applyFill="1" applyAlignment="1">
      <alignment horizontal="center" vertical="center" wrapText="1"/>
    </xf>
    <xf numFmtId="0" fontId="4" fillId="377" borderId="0" xfId="0" applyFont="1" applyFill="1" applyAlignment="1">
      <alignment horizontal="center" vertical="center" wrapText="1"/>
    </xf>
    <xf numFmtId="0" fontId="5" fillId="378" borderId="0" xfId="0" applyFont="1" applyFill="1" applyAlignment="1">
      <alignment horizontal="center" vertical="center" wrapText="1"/>
    </xf>
    <xf numFmtId="0" fontId="5" fillId="379" borderId="0" xfId="0" applyFont="1" applyFill="1" applyAlignment="1">
      <alignment horizontal="center" vertical="center" wrapText="1"/>
    </xf>
    <xf numFmtId="0" fontId="4" fillId="380" borderId="0" xfId="0" applyFont="1" applyFill="1" applyAlignment="1">
      <alignment horizontal="center" vertical="center" wrapText="1"/>
    </xf>
    <xf numFmtId="0" fontId="5" fillId="381" borderId="0" xfId="0" applyFont="1" applyFill="1" applyAlignment="1">
      <alignment horizontal="center" vertical="center" wrapText="1"/>
    </xf>
    <xf numFmtId="0" fontId="5" fillId="382" borderId="0" xfId="0" applyFont="1" applyFill="1" applyAlignment="1">
      <alignment horizontal="center" vertical="center" wrapText="1"/>
    </xf>
    <xf numFmtId="0" fontId="5" fillId="383" borderId="0" xfId="0" applyFont="1" applyFill="1" applyAlignment="1">
      <alignment horizontal="center" vertical="center" wrapText="1"/>
    </xf>
    <xf numFmtId="0" fontId="5" fillId="384" borderId="0" xfId="0" applyFont="1" applyFill="1" applyAlignment="1">
      <alignment horizontal="center" vertical="center" wrapText="1"/>
    </xf>
    <xf numFmtId="0" fontId="5" fillId="385" borderId="0" xfId="0" applyFont="1" applyFill="1" applyAlignment="1">
      <alignment horizontal="center" vertical="center" wrapText="1"/>
    </xf>
    <xf numFmtId="0" fontId="5" fillId="386" borderId="0" xfId="0" applyFont="1" applyFill="1" applyAlignment="1">
      <alignment horizontal="center" vertical="center" wrapText="1"/>
    </xf>
    <xf numFmtId="0" fontId="5" fillId="387" borderId="0" xfId="0" applyFont="1" applyFill="1" applyAlignment="1">
      <alignment horizontal="center" vertical="center" wrapText="1"/>
    </xf>
    <xf numFmtId="0" fontId="4" fillId="248" borderId="7" xfId="0" applyFont="1" applyFill="1" applyBorder="1" applyAlignment="1">
      <alignment horizontal="center" vertical="center" wrapText="1"/>
    </xf>
    <xf numFmtId="0" fontId="4" fillId="249" borderId="7" xfId="0" applyFont="1" applyFill="1" applyBorder="1" applyAlignment="1">
      <alignment horizontal="center" vertical="center" wrapText="1"/>
    </xf>
    <xf numFmtId="0" fontId="4" fillId="250" borderId="7" xfId="0" applyFont="1" applyFill="1" applyBorder="1" applyAlignment="1">
      <alignment horizontal="center" vertical="center" wrapText="1"/>
    </xf>
    <xf numFmtId="0" fontId="4" fillId="251" borderId="7" xfId="0" applyFont="1" applyFill="1" applyBorder="1" applyAlignment="1">
      <alignment horizontal="center" vertical="center" wrapText="1"/>
    </xf>
    <xf numFmtId="0" fontId="5" fillId="388" borderId="7" xfId="0" applyFont="1" applyFill="1" applyBorder="1" applyAlignment="1">
      <alignment horizontal="center" vertical="center" wrapText="1"/>
    </xf>
    <xf numFmtId="0" fontId="5" fillId="389" borderId="7" xfId="0" applyFont="1" applyFill="1" applyBorder="1" applyAlignment="1">
      <alignment horizontal="center" vertical="center" wrapText="1"/>
    </xf>
    <xf numFmtId="0" fontId="5" fillId="390" borderId="7" xfId="0" applyFont="1" applyFill="1" applyBorder="1" applyAlignment="1">
      <alignment horizontal="center" vertical="center" wrapText="1"/>
    </xf>
    <xf numFmtId="0" fontId="5" fillId="391" borderId="7" xfId="0" applyFont="1" applyFill="1" applyBorder="1" applyAlignment="1">
      <alignment horizontal="center" vertical="center" wrapText="1"/>
    </xf>
    <xf numFmtId="0" fontId="5" fillId="356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FF8DE-AC26-4871-84A6-CB8C843EC3E5}">
  <sheetPr codeName="Sheet4"/>
  <dimension ref="A1:Z267"/>
  <sheetViews>
    <sheetView tabSelected="1" workbookViewId="0">
      <selection activeCell="B1" sqref="B1"/>
    </sheetView>
  </sheetViews>
  <sheetFormatPr defaultRowHeight="15" x14ac:dyDescent="0.25"/>
  <cols>
    <col min="11" max="11" width="13.85546875" bestFit="1" customWidth="1"/>
    <col min="12" max="12" width="13.85546875" customWidth="1"/>
    <col min="13" max="13" width="11.140625" bestFit="1" customWidth="1"/>
    <col min="14" max="14" width="20.28515625" bestFit="1" customWidth="1"/>
  </cols>
  <sheetData>
    <row r="1" spans="1:26" x14ac:dyDescent="0.25">
      <c r="A1" s="248" t="s">
        <v>48</v>
      </c>
    </row>
    <row r="2" spans="1:26" x14ac:dyDescent="0.25">
      <c r="B2" t="s">
        <v>49</v>
      </c>
    </row>
    <row r="3" spans="1:26" x14ac:dyDescent="0.25">
      <c r="B3" t="s">
        <v>44</v>
      </c>
    </row>
    <row r="4" spans="1:26" ht="16.5" x14ac:dyDescent="0.3">
      <c r="B4" s="1" t="s">
        <v>0</v>
      </c>
    </row>
    <row r="5" spans="1:26" ht="16.5" x14ac:dyDescent="0.3">
      <c r="B5" s="1" t="s">
        <v>1</v>
      </c>
    </row>
    <row r="6" spans="1:26" ht="16.5" x14ac:dyDescent="0.3">
      <c r="B6" s="1" t="s">
        <v>2</v>
      </c>
    </row>
    <row r="7" spans="1:26" ht="16.5" x14ac:dyDescent="0.3">
      <c r="B7" s="1" t="s">
        <v>3</v>
      </c>
      <c r="L7" t="s">
        <v>46</v>
      </c>
    </row>
    <row r="8" spans="1:26" ht="16.5" x14ac:dyDescent="0.3">
      <c r="B8" s="1" t="s">
        <v>42</v>
      </c>
      <c r="L8">
        <f>255/7</f>
        <v>36.428571428571431</v>
      </c>
      <c r="N8" t="s">
        <v>45</v>
      </c>
    </row>
    <row r="10" spans="1:26" ht="16.5" x14ac:dyDescent="0.3">
      <c r="B10" s="1" t="s">
        <v>4</v>
      </c>
    </row>
    <row r="11" spans="1:26" s="248" customFormat="1" ht="16.5" x14ac:dyDescent="0.3">
      <c r="B11" s="249" t="s">
        <v>5</v>
      </c>
      <c r="C11" s="248" t="s">
        <v>6</v>
      </c>
      <c r="D11" s="248" t="s">
        <v>7</v>
      </c>
      <c r="E11" s="248" t="s">
        <v>8</v>
      </c>
      <c r="G11" s="248" t="s">
        <v>6</v>
      </c>
      <c r="H11" s="248" t="s">
        <v>7</v>
      </c>
      <c r="I11" s="248" t="s">
        <v>8</v>
      </c>
      <c r="J11" s="248" t="s">
        <v>9</v>
      </c>
      <c r="N11" s="248" t="s">
        <v>47</v>
      </c>
    </row>
    <row r="12" spans="1:26" ht="15.75" thickBot="1" x14ac:dyDescent="0.3">
      <c r="B12">
        <v>0</v>
      </c>
      <c r="G12">
        <v>0</v>
      </c>
      <c r="H12">
        <v>0</v>
      </c>
      <c r="I12">
        <v>0</v>
      </c>
      <c r="J12">
        <v>0</v>
      </c>
      <c r="K12" s="26" t="str">
        <f>myRGB(G12*51,H12*51,I12*51)</f>
        <v/>
      </c>
      <c r="L12" t="s">
        <v>26</v>
      </c>
      <c r="M12" t="s">
        <v>10</v>
      </c>
      <c r="N12" t="str">
        <f>DEC2BIN(G12,3)&amp;DEC2BIN(H12,3)&amp;DEC2BIN(I12,3)</f>
        <v>000000000</v>
      </c>
    </row>
    <row r="13" spans="1:26" x14ac:dyDescent="0.25">
      <c r="B13">
        <v>1</v>
      </c>
      <c r="G13">
        <v>7</v>
      </c>
      <c r="H13">
        <v>7</v>
      </c>
      <c r="I13">
        <v>7</v>
      </c>
      <c r="J13">
        <v>1</v>
      </c>
      <c r="K13" s="27" t="str">
        <f t="shared" ref="K13:K76" si="0">myRGB(G13*51,H13*51,I13*51)</f>
        <v/>
      </c>
      <c r="L13" t="s">
        <v>27</v>
      </c>
      <c r="M13" t="s">
        <v>11</v>
      </c>
      <c r="N13" t="str">
        <f t="shared" ref="N13:N76" si="1">DEC2BIN(G13,3)&amp;DEC2BIN(H13,3)&amp;DEC2BIN(I13,3)</f>
        <v>111111111</v>
      </c>
      <c r="P13" s="284">
        <v>16</v>
      </c>
      <c r="Q13" s="285">
        <v>52</v>
      </c>
      <c r="R13" s="286">
        <v>88</v>
      </c>
      <c r="S13" s="287">
        <v>124</v>
      </c>
      <c r="T13" s="288">
        <v>160</v>
      </c>
      <c r="U13" s="289">
        <v>196</v>
      </c>
      <c r="V13" s="290">
        <v>203</v>
      </c>
      <c r="W13" s="291">
        <v>210</v>
      </c>
      <c r="X13" s="292">
        <v>217</v>
      </c>
      <c r="Y13" s="293">
        <v>224</v>
      </c>
      <c r="Z13" s="294">
        <v>231</v>
      </c>
    </row>
    <row r="14" spans="1:26" x14ac:dyDescent="0.25">
      <c r="B14">
        <v>2</v>
      </c>
      <c r="G14">
        <v>7</v>
      </c>
      <c r="H14">
        <v>7</v>
      </c>
      <c r="I14">
        <v>0</v>
      </c>
      <c r="J14">
        <v>2</v>
      </c>
      <c r="K14" s="138" t="str">
        <f t="shared" si="0"/>
        <v/>
      </c>
      <c r="L14" t="s">
        <v>28</v>
      </c>
      <c r="M14" t="s">
        <v>12</v>
      </c>
      <c r="N14" t="str">
        <f t="shared" si="1"/>
        <v>111111000</v>
      </c>
      <c r="P14" s="295">
        <v>16</v>
      </c>
      <c r="Q14" s="250">
        <v>52</v>
      </c>
      <c r="R14" s="251">
        <v>88</v>
      </c>
      <c r="S14" s="252">
        <v>124</v>
      </c>
      <c r="T14" s="253">
        <v>160</v>
      </c>
      <c r="U14" s="254">
        <v>202</v>
      </c>
      <c r="V14" s="255">
        <v>209</v>
      </c>
      <c r="W14" s="256">
        <v>216</v>
      </c>
      <c r="X14" s="257">
        <v>223</v>
      </c>
      <c r="Y14" s="258">
        <v>230</v>
      </c>
      <c r="Z14" s="296">
        <v>231</v>
      </c>
    </row>
    <row r="15" spans="1:26" x14ac:dyDescent="0.25">
      <c r="B15">
        <v>3</v>
      </c>
      <c r="G15">
        <v>0</v>
      </c>
      <c r="H15">
        <v>7</v>
      </c>
      <c r="I15">
        <v>0</v>
      </c>
      <c r="J15">
        <v>3</v>
      </c>
      <c r="K15" s="28" t="str">
        <f t="shared" si="0"/>
        <v/>
      </c>
      <c r="L15" t="s">
        <v>29</v>
      </c>
      <c r="M15" t="s">
        <v>13</v>
      </c>
      <c r="N15" t="str">
        <f t="shared" si="1"/>
        <v>000111000</v>
      </c>
      <c r="P15" s="295">
        <v>16</v>
      </c>
      <c r="Q15" s="250">
        <v>52</v>
      </c>
      <c r="R15" s="251">
        <v>88</v>
      </c>
      <c r="S15" s="252">
        <v>124</v>
      </c>
      <c r="T15" s="259">
        <v>166</v>
      </c>
      <c r="U15" s="260">
        <v>208</v>
      </c>
      <c r="V15" s="261">
        <v>215</v>
      </c>
      <c r="W15" s="262">
        <v>222</v>
      </c>
      <c r="X15" s="263">
        <v>229</v>
      </c>
      <c r="Y15" s="258">
        <v>230</v>
      </c>
      <c r="Z15" s="296">
        <v>231</v>
      </c>
    </row>
    <row r="16" spans="1:26" x14ac:dyDescent="0.25">
      <c r="B16">
        <v>4</v>
      </c>
      <c r="G16">
        <v>7</v>
      </c>
      <c r="H16">
        <v>0</v>
      </c>
      <c r="I16">
        <v>0</v>
      </c>
      <c r="J16">
        <v>4</v>
      </c>
      <c r="K16" s="139" t="str">
        <f t="shared" si="0"/>
        <v/>
      </c>
      <c r="L16" t="s">
        <v>30</v>
      </c>
      <c r="M16" t="s">
        <v>14</v>
      </c>
      <c r="N16" t="str">
        <f t="shared" si="1"/>
        <v>111000000</v>
      </c>
      <c r="P16" s="295">
        <v>16</v>
      </c>
      <c r="Q16" s="250">
        <v>52</v>
      </c>
      <c r="R16" s="251">
        <v>88</v>
      </c>
      <c r="S16" s="264">
        <v>130</v>
      </c>
      <c r="T16" s="265">
        <v>172</v>
      </c>
      <c r="U16" s="266">
        <v>214</v>
      </c>
      <c r="V16" s="267">
        <v>221</v>
      </c>
      <c r="W16" s="268">
        <v>228</v>
      </c>
      <c r="X16" s="263">
        <v>229</v>
      </c>
      <c r="Y16" s="258">
        <v>230</v>
      </c>
      <c r="Z16" s="296">
        <v>231</v>
      </c>
    </row>
    <row r="17" spans="2:26" x14ac:dyDescent="0.25">
      <c r="B17">
        <v>5</v>
      </c>
      <c r="G17">
        <v>0</v>
      </c>
      <c r="H17">
        <v>0</v>
      </c>
      <c r="I17">
        <v>7</v>
      </c>
      <c r="J17">
        <v>5</v>
      </c>
      <c r="K17" s="29" t="str">
        <f t="shared" si="0"/>
        <v/>
      </c>
      <c r="L17" t="s">
        <v>31</v>
      </c>
      <c r="M17" t="s">
        <v>15</v>
      </c>
      <c r="N17" t="str">
        <f t="shared" si="1"/>
        <v>000000111</v>
      </c>
      <c r="P17" s="295">
        <v>16</v>
      </c>
      <c r="Q17" s="250">
        <v>52</v>
      </c>
      <c r="R17" s="269">
        <v>94</v>
      </c>
      <c r="S17" s="270">
        <v>136</v>
      </c>
      <c r="T17" s="271">
        <v>178</v>
      </c>
      <c r="U17" s="272">
        <v>220</v>
      </c>
      <c r="V17" s="273">
        <v>227</v>
      </c>
      <c r="W17" s="268">
        <v>228</v>
      </c>
      <c r="X17" s="263">
        <v>229</v>
      </c>
      <c r="Y17" s="258">
        <v>230</v>
      </c>
      <c r="Z17" s="296">
        <v>231</v>
      </c>
    </row>
    <row r="18" spans="2:26" x14ac:dyDescent="0.25">
      <c r="B18">
        <v>6</v>
      </c>
      <c r="G18">
        <v>7</v>
      </c>
      <c r="H18">
        <v>0</v>
      </c>
      <c r="I18">
        <v>7</v>
      </c>
      <c r="J18">
        <v>6</v>
      </c>
      <c r="K18" s="123" t="str">
        <f t="shared" si="0"/>
        <v/>
      </c>
      <c r="L18" t="s">
        <v>32</v>
      </c>
      <c r="M18" t="s">
        <v>16</v>
      </c>
      <c r="N18" t="str">
        <f t="shared" si="1"/>
        <v>111000111</v>
      </c>
      <c r="P18" s="295">
        <v>16</v>
      </c>
      <c r="Q18" s="274">
        <v>58</v>
      </c>
      <c r="R18" s="275">
        <v>100</v>
      </c>
      <c r="S18" s="276">
        <v>142</v>
      </c>
      <c r="T18" s="277">
        <v>184</v>
      </c>
      <c r="U18" s="278">
        <v>226</v>
      </c>
      <c r="V18" s="273">
        <v>227</v>
      </c>
      <c r="W18" s="268">
        <v>228</v>
      </c>
      <c r="X18" s="263">
        <v>229</v>
      </c>
      <c r="Y18" s="258">
        <v>230</v>
      </c>
      <c r="Z18" s="296">
        <v>231</v>
      </c>
    </row>
    <row r="19" spans="2:26" x14ac:dyDescent="0.25">
      <c r="B19">
        <v>7</v>
      </c>
      <c r="G19">
        <v>0</v>
      </c>
      <c r="H19">
        <v>7</v>
      </c>
      <c r="I19">
        <v>7</v>
      </c>
      <c r="J19">
        <v>7</v>
      </c>
      <c r="K19" s="30" t="str">
        <f t="shared" si="0"/>
        <v/>
      </c>
      <c r="L19" t="s">
        <v>33</v>
      </c>
      <c r="M19" t="s">
        <v>17</v>
      </c>
      <c r="N19" t="str">
        <f t="shared" si="1"/>
        <v>000111111</v>
      </c>
      <c r="P19" s="295">
        <v>16</v>
      </c>
      <c r="Q19" s="279">
        <v>22</v>
      </c>
      <c r="R19" s="280">
        <v>64</v>
      </c>
      <c r="S19" s="281">
        <v>106</v>
      </c>
      <c r="T19" s="282">
        <v>148</v>
      </c>
      <c r="U19" s="283">
        <v>190</v>
      </c>
      <c r="V19" s="273">
        <v>227</v>
      </c>
      <c r="W19" s="268">
        <v>228</v>
      </c>
      <c r="X19" s="263">
        <v>229</v>
      </c>
      <c r="Y19" s="258">
        <v>230</v>
      </c>
      <c r="Z19" s="296">
        <v>231</v>
      </c>
    </row>
    <row r="20" spans="2:26" x14ac:dyDescent="0.25">
      <c r="B20">
        <v>8</v>
      </c>
      <c r="G20">
        <v>1</v>
      </c>
      <c r="H20">
        <v>1</v>
      </c>
      <c r="I20">
        <v>1</v>
      </c>
      <c r="J20">
        <v>8</v>
      </c>
      <c r="K20" s="52" t="str">
        <f t="shared" si="0"/>
        <v/>
      </c>
      <c r="L20" t="s">
        <v>34</v>
      </c>
      <c r="M20" t="s">
        <v>18</v>
      </c>
      <c r="N20" t="str">
        <f t="shared" si="1"/>
        <v>001001001</v>
      </c>
      <c r="P20" s="295">
        <v>16</v>
      </c>
      <c r="Q20" s="279">
        <v>22</v>
      </c>
      <c r="R20" s="299">
        <v>28</v>
      </c>
      <c r="S20" s="300">
        <v>70</v>
      </c>
      <c r="T20" s="301">
        <v>112</v>
      </c>
      <c r="U20" s="302">
        <v>154</v>
      </c>
      <c r="V20" s="303">
        <v>191</v>
      </c>
      <c r="W20" s="268">
        <v>228</v>
      </c>
      <c r="X20" s="263">
        <v>229</v>
      </c>
      <c r="Y20" s="258">
        <v>230</v>
      </c>
      <c r="Z20" s="296">
        <v>231</v>
      </c>
    </row>
    <row r="21" spans="2:26" x14ac:dyDescent="0.25">
      <c r="B21">
        <v>9</v>
      </c>
      <c r="G21">
        <v>4</v>
      </c>
      <c r="H21">
        <v>4</v>
      </c>
      <c r="I21">
        <v>4</v>
      </c>
      <c r="J21">
        <v>9</v>
      </c>
      <c r="K21" s="31" t="str">
        <f t="shared" si="0"/>
        <v/>
      </c>
      <c r="L21" t="s">
        <v>35</v>
      </c>
      <c r="M21" t="s">
        <v>19</v>
      </c>
      <c r="N21" t="str">
        <f t="shared" si="1"/>
        <v>100100100</v>
      </c>
      <c r="P21" s="295">
        <v>16</v>
      </c>
      <c r="Q21" s="279">
        <v>22</v>
      </c>
      <c r="R21" s="299">
        <v>28</v>
      </c>
      <c r="S21" s="304">
        <v>34</v>
      </c>
      <c r="T21" s="305">
        <v>76</v>
      </c>
      <c r="U21" s="306">
        <v>118</v>
      </c>
      <c r="V21" s="307">
        <v>155</v>
      </c>
      <c r="W21" s="308">
        <v>192</v>
      </c>
      <c r="X21" s="263">
        <v>229</v>
      </c>
      <c r="Y21" s="258">
        <v>230</v>
      </c>
      <c r="Z21" s="296">
        <v>231</v>
      </c>
    </row>
    <row r="22" spans="2:26" x14ac:dyDescent="0.25">
      <c r="B22">
        <v>10</v>
      </c>
      <c r="G22">
        <v>3</v>
      </c>
      <c r="H22">
        <v>3</v>
      </c>
      <c r="I22">
        <v>0</v>
      </c>
      <c r="J22">
        <v>10</v>
      </c>
      <c r="K22" s="140" t="str">
        <f t="shared" si="0"/>
        <v/>
      </c>
      <c r="L22" t="s">
        <v>36</v>
      </c>
      <c r="M22" t="s">
        <v>20</v>
      </c>
      <c r="N22" t="str">
        <f t="shared" si="1"/>
        <v>011011000</v>
      </c>
      <c r="P22" s="295">
        <v>16</v>
      </c>
      <c r="Q22" s="279">
        <v>22</v>
      </c>
      <c r="R22" s="299">
        <v>28</v>
      </c>
      <c r="S22" s="304">
        <v>34</v>
      </c>
      <c r="T22" s="309">
        <v>40</v>
      </c>
      <c r="U22" s="310">
        <v>82</v>
      </c>
      <c r="V22" s="311">
        <v>119</v>
      </c>
      <c r="W22" s="312">
        <v>156</v>
      </c>
      <c r="X22" s="313">
        <v>193</v>
      </c>
      <c r="Y22" s="258">
        <v>230</v>
      </c>
      <c r="Z22" s="296">
        <v>231</v>
      </c>
    </row>
    <row r="23" spans="2:26" x14ac:dyDescent="0.25">
      <c r="B23">
        <v>11</v>
      </c>
      <c r="G23">
        <v>0</v>
      </c>
      <c r="H23">
        <v>3</v>
      </c>
      <c r="I23">
        <v>0</v>
      </c>
      <c r="J23">
        <v>11</v>
      </c>
      <c r="K23" s="32" t="str">
        <f t="shared" si="0"/>
        <v/>
      </c>
      <c r="L23" t="s">
        <v>37</v>
      </c>
      <c r="M23" t="s">
        <v>21</v>
      </c>
      <c r="N23" t="str">
        <f t="shared" si="1"/>
        <v>000011000</v>
      </c>
      <c r="P23" s="295">
        <v>16</v>
      </c>
      <c r="Q23" s="279">
        <v>22</v>
      </c>
      <c r="R23" s="299">
        <v>28</v>
      </c>
      <c r="S23" s="304">
        <v>34</v>
      </c>
      <c r="T23" s="309">
        <v>40</v>
      </c>
      <c r="U23" s="314">
        <v>46</v>
      </c>
      <c r="V23" s="315">
        <v>83</v>
      </c>
      <c r="W23" s="316">
        <v>120</v>
      </c>
      <c r="X23" s="317">
        <v>157</v>
      </c>
      <c r="Y23" s="318">
        <v>194</v>
      </c>
      <c r="Z23" s="296">
        <v>231</v>
      </c>
    </row>
    <row r="24" spans="2:26" x14ac:dyDescent="0.25">
      <c r="B24">
        <v>12</v>
      </c>
      <c r="G24">
        <v>3</v>
      </c>
      <c r="H24">
        <v>0</v>
      </c>
      <c r="I24">
        <v>0</v>
      </c>
      <c r="J24">
        <v>12</v>
      </c>
      <c r="K24" s="141" t="str">
        <f t="shared" si="0"/>
        <v/>
      </c>
      <c r="L24" t="s">
        <v>38</v>
      </c>
      <c r="M24" t="s">
        <v>22</v>
      </c>
      <c r="N24" t="str">
        <f t="shared" si="1"/>
        <v>011000000</v>
      </c>
      <c r="P24" s="295">
        <v>16</v>
      </c>
      <c r="Q24" s="279">
        <v>22</v>
      </c>
      <c r="R24" s="299">
        <v>28</v>
      </c>
      <c r="S24" s="304">
        <v>34</v>
      </c>
      <c r="T24" s="309">
        <v>40</v>
      </c>
      <c r="U24" s="319">
        <v>47</v>
      </c>
      <c r="V24" s="320">
        <v>84</v>
      </c>
      <c r="W24" s="321">
        <v>121</v>
      </c>
      <c r="X24" s="322">
        <v>158</v>
      </c>
      <c r="Y24" s="323">
        <v>195</v>
      </c>
      <c r="Z24" s="296">
        <v>231</v>
      </c>
    </row>
    <row r="25" spans="2:26" x14ac:dyDescent="0.25">
      <c r="B25">
        <v>13</v>
      </c>
      <c r="G25">
        <v>0</v>
      </c>
      <c r="H25">
        <v>0</v>
      </c>
      <c r="I25">
        <v>3</v>
      </c>
      <c r="J25">
        <v>13</v>
      </c>
      <c r="K25" s="33" t="str">
        <f t="shared" si="0"/>
        <v/>
      </c>
      <c r="L25" t="s">
        <v>39</v>
      </c>
      <c r="M25" t="s">
        <v>23</v>
      </c>
      <c r="N25" t="str">
        <f t="shared" si="1"/>
        <v>000000011</v>
      </c>
      <c r="P25" s="295">
        <v>16</v>
      </c>
      <c r="Q25" s="279">
        <v>22</v>
      </c>
      <c r="R25" s="299">
        <v>28</v>
      </c>
      <c r="S25" s="304">
        <v>34</v>
      </c>
      <c r="T25" s="324">
        <v>41</v>
      </c>
      <c r="U25" s="325">
        <v>48</v>
      </c>
      <c r="V25" s="326">
        <v>85</v>
      </c>
      <c r="W25" s="327">
        <v>122</v>
      </c>
      <c r="X25" s="328">
        <v>159</v>
      </c>
      <c r="Y25" s="323">
        <v>195</v>
      </c>
      <c r="Z25" s="296">
        <v>231</v>
      </c>
    </row>
    <row r="26" spans="2:26" x14ac:dyDescent="0.25">
      <c r="B26">
        <v>14</v>
      </c>
      <c r="G26">
        <v>3</v>
      </c>
      <c r="H26">
        <v>0</v>
      </c>
      <c r="I26">
        <v>3</v>
      </c>
      <c r="J26">
        <v>14</v>
      </c>
      <c r="K26" s="86" t="str">
        <f t="shared" si="0"/>
        <v/>
      </c>
      <c r="L26" t="s">
        <v>40</v>
      </c>
      <c r="M26" t="s">
        <v>24</v>
      </c>
      <c r="N26" t="str">
        <f t="shared" si="1"/>
        <v>011000011</v>
      </c>
      <c r="P26" s="295">
        <v>16</v>
      </c>
      <c r="Q26" s="279">
        <v>22</v>
      </c>
      <c r="R26" s="299">
        <v>28</v>
      </c>
      <c r="S26" s="329">
        <v>35</v>
      </c>
      <c r="T26" s="330">
        <v>42</v>
      </c>
      <c r="U26" s="331">
        <v>49</v>
      </c>
      <c r="V26" s="332">
        <v>86</v>
      </c>
      <c r="W26" s="333">
        <v>123</v>
      </c>
      <c r="X26" s="328">
        <v>159</v>
      </c>
      <c r="Y26" s="323">
        <v>195</v>
      </c>
      <c r="Z26" s="296">
        <v>231</v>
      </c>
    </row>
    <row r="27" spans="2:26" x14ac:dyDescent="0.25">
      <c r="B27">
        <v>15</v>
      </c>
      <c r="G27">
        <v>0</v>
      </c>
      <c r="H27">
        <v>3</v>
      </c>
      <c r="I27">
        <v>3</v>
      </c>
      <c r="J27">
        <v>15</v>
      </c>
      <c r="K27" s="34" t="str">
        <f t="shared" si="0"/>
        <v/>
      </c>
      <c r="L27" t="s">
        <v>41</v>
      </c>
      <c r="M27" t="s">
        <v>25</v>
      </c>
      <c r="N27" t="str">
        <f t="shared" si="1"/>
        <v>000011011</v>
      </c>
      <c r="P27" s="295">
        <v>16</v>
      </c>
      <c r="Q27" s="279">
        <v>22</v>
      </c>
      <c r="R27" s="334">
        <v>29</v>
      </c>
      <c r="S27" s="335">
        <v>36</v>
      </c>
      <c r="T27" s="336">
        <v>43</v>
      </c>
      <c r="U27" s="337">
        <v>50</v>
      </c>
      <c r="V27" s="338">
        <v>87</v>
      </c>
      <c r="W27" s="333">
        <v>123</v>
      </c>
      <c r="X27" s="328">
        <v>159</v>
      </c>
      <c r="Y27" s="323">
        <v>195</v>
      </c>
      <c r="Z27" s="296">
        <v>231</v>
      </c>
    </row>
    <row r="28" spans="2:26" x14ac:dyDescent="0.25">
      <c r="B28">
        <v>16</v>
      </c>
      <c r="C28">
        <f>INT(((B28-16)/36))</f>
        <v>0</v>
      </c>
      <c r="D28">
        <f>INT(MOD(B28-16,36)/6)</f>
        <v>0</v>
      </c>
      <c r="E28">
        <f>INT(MOD(B28-16,6))</f>
        <v>0</v>
      </c>
      <c r="G28">
        <v>0</v>
      </c>
      <c r="H28">
        <v>0</v>
      </c>
      <c r="I28">
        <v>0</v>
      </c>
      <c r="J28">
        <f>16+36*G28+6*H28+I28</f>
        <v>16</v>
      </c>
      <c r="K28" s="26" t="str">
        <f t="shared" si="0"/>
        <v/>
      </c>
      <c r="N28" t="str">
        <f t="shared" si="1"/>
        <v>000000000</v>
      </c>
      <c r="P28" s="295">
        <v>16</v>
      </c>
      <c r="Q28" s="339">
        <v>23</v>
      </c>
      <c r="R28" s="340">
        <v>30</v>
      </c>
      <c r="S28" s="341">
        <v>37</v>
      </c>
      <c r="T28" s="342">
        <v>44</v>
      </c>
      <c r="U28" s="343">
        <v>51</v>
      </c>
      <c r="V28" s="338">
        <v>87</v>
      </c>
      <c r="W28" s="333">
        <v>123</v>
      </c>
      <c r="X28" s="328">
        <v>159</v>
      </c>
      <c r="Y28" s="323">
        <v>195</v>
      </c>
      <c r="Z28" s="296">
        <v>231</v>
      </c>
    </row>
    <row r="29" spans="2:26" x14ac:dyDescent="0.25">
      <c r="B29">
        <v>17</v>
      </c>
      <c r="C29">
        <f t="shared" ref="C29:C92" si="2">INT(((B29-16)/36))</f>
        <v>0</v>
      </c>
      <c r="D29">
        <f t="shared" ref="D29:D92" si="3">INT(MOD(B29-16,36)/6)</f>
        <v>0</v>
      </c>
      <c r="E29">
        <f t="shared" ref="E29:E92" si="4">INT(MOD(B29-16,6))</f>
        <v>1</v>
      </c>
      <c r="G29">
        <v>0</v>
      </c>
      <c r="H29">
        <v>0</v>
      </c>
      <c r="I29">
        <v>1</v>
      </c>
      <c r="J29">
        <f t="shared" ref="J29:J92" si="5">16+36*G29+6*H29+I29</f>
        <v>17</v>
      </c>
      <c r="K29" s="35" t="str">
        <f t="shared" si="0"/>
        <v/>
      </c>
      <c r="N29" t="str">
        <f t="shared" si="1"/>
        <v>000000001</v>
      </c>
      <c r="P29" s="295">
        <v>16</v>
      </c>
      <c r="Q29" s="344">
        <v>17</v>
      </c>
      <c r="R29" s="345">
        <v>24</v>
      </c>
      <c r="S29" s="346">
        <v>31</v>
      </c>
      <c r="T29" s="347">
        <v>38</v>
      </c>
      <c r="U29" s="348">
        <v>45</v>
      </c>
      <c r="V29" s="338">
        <v>87</v>
      </c>
      <c r="W29" s="333">
        <v>123</v>
      </c>
      <c r="X29" s="328">
        <v>159</v>
      </c>
      <c r="Y29" s="323">
        <v>195</v>
      </c>
      <c r="Z29" s="296">
        <v>231</v>
      </c>
    </row>
    <row r="30" spans="2:26" x14ac:dyDescent="0.25">
      <c r="B30">
        <v>18</v>
      </c>
      <c r="C30">
        <f t="shared" si="2"/>
        <v>0</v>
      </c>
      <c r="D30">
        <f t="shared" si="3"/>
        <v>0</v>
      </c>
      <c r="E30">
        <f t="shared" si="4"/>
        <v>2</v>
      </c>
      <c r="G30">
        <v>0</v>
      </c>
      <c r="H30">
        <v>0</v>
      </c>
      <c r="I30">
        <v>2</v>
      </c>
      <c r="J30">
        <f t="shared" si="5"/>
        <v>18</v>
      </c>
      <c r="K30" s="142" t="str">
        <f t="shared" si="0"/>
        <v/>
      </c>
      <c r="N30" t="str">
        <f t="shared" si="1"/>
        <v>000000010</v>
      </c>
      <c r="P30" s="295">
        <v>16</v>
      </c>
      <c r="Q30" s="344">
        <v>17</v>
      </c>
      <c r="R30" s="349">
        <v>18</v>
      </c>
      <c r="S30" s="350">
        <v>25</v>
      </c>
      <c r="T30" s="351">
        <v>32</v>
      </c>
      <c r="U30" s="352">
        <v>39</v>
      </c>
      <c r="V30" s="353">
        <v>81</v>
      </c>
      <c r="W30" s="333">
        <v>123</v>
      </c>
      <c r="X30" s="328">
        <v>159</v>
      </c>
      <c r="Y30" s="323">
        <v>195</v>
      </c>
      <c r="Z30" s="296">
        <v>231</v>
      </c>
    </row>
    <row r="31" spans="2:26" x14ac:dyDescent="0.25">
      <c r="B31">
        <v>19</v>
      </c>
      <c r="C31">
        <f t="shared" si="2"/>
        <v>0</v>
      </c>
      <c r="D31">
        <f t="shared" si="3"/>
        <v>0</v>
      </c>
      <c r="E31">
        <f t="shared" si="4"/>
        <v>3</v>
      </c>
      <c r="G31">
        <v>0</v>
      </c>
      <c r="H31">
        <v>0</v>
      </c>
      <c r="I31">
        <v>3</v>
      </c>
      <c r="J31">
        <f t="shared" si="5"/>
        <v>19</v>
      </c>
      <c r="K31" s="33" t="str">
        <f t="shared" si="0"/>
        <v/>
      </c>
      <c r="N31" t="str">
        <f t="shared" si="1"/>
        <v>000000011</v>
      </c>
      <c r="P31" s="295">
        <v>16</v>
      </c>
      <c r="Q31" s="344">
        <v>17</v>
      </c>
      <c r="R31" s="349">
        <v>18</v>
      </c>
      <c r="S31" s="354">
        <v>19</v>
      </c>
      <c r="T31" s="355">
        <v>26</v>
      </c>
      <c r="U31" s="356">
        <v>33</v>
      </c>
      <c r="V31" s="357">
        <v>75</v>
      </c>
      <c r="W31" s="358">
        <v>117</v>
      </c>
      <c r="X31" s="328">
        <v>159</v>
      </c>
      <c r="Y31" s="323">
        <v>195</v>
      </c>
      <c r="Z31" s="296">
        <v>231</v>
      </c>
    </row>
    <row r="32" spans="2:26" x14ac:dyDescent="0.25">
      <c r="B32">
        <v>20</v>
      </c>
      <c r="C32">
        <f t="shared" si="2"/>
        <v>0</v>
      </c>
      <c r="D32">
        <f t="shared" si="3"/>
        <v>0</v>
      </c>
      <c r="E32">
        <f t="shared" si="4"/>
        <v>4</v>
      </c>
      <c r="G32">
        <v>0</v>
      </c>
      <c r="H32">
        <v>0</v>
      </c>
      <c r="I32">
        <v>4</v>
      </c>
      <c r="J32">
        <f t="shared" si="5"/>
        <v>20</v>
      </c>
      <c r="K32" s="143" t="str">
        <f t="shared" si="0"/>
        <v/>
      </c>
      <c r="N32" t="str">
        <f t="shared" si="1"/>
        <v>000000100</v>
      </c>
      <c r="P32" s="295">
        <v>16</v>
      </c>
      <c r="Q32" s="344">
        <v>17</v>
      </c>
      <c r="R32" s="349">
        <v>18</v>
      </c>
      <c r="S32" s="354">
        <v>19</v>
      </c>
      <c r="T32" s="359">
        <v>20</v>
      </c>
      <c r="U32" s="360">
        <v>27</v>
      </c>
      <c r="V32" s="361">
        <v>69</v>
      </c>
      <c r="W32" s="362">
        <v>111</v>
      </c>
      <c r="X32" s="363">
        <v>153</v>
      </c>
      <c r="Y32" s="323">
        <v>195</v>
      </c>
      <c r="Z32" s="296">
        <v>231</v>
      </c>
    </row>
    <row r="33" spans="2:26" x14ac:dyDescent="0.25">
      <c r="B33">
        <v>21</v>
      </c>
      <c r="C33">
        <f t="shared" si="2"/>
        <v>0</v>
      </c>
      <c r="D33">
        <f t="shared" si="3"/>
        <v>0</v>
      </c>
      <c r="E33">
        <f t="shared" si="4"/>
        <v>5</v>
      </c>
      <c r="G33">
        <v>0</v>
      </c>
      <c r="H33">
        <v>0</v>
      </c>
      <c r="I33">
        <v>5</v>
      </c>
      <c r="J33">
        <f t="shared" si="5"/>
        <v>21</v>
      </c>
      <c r="K33" s="29" t="str">
        <f t="shared" si="0"/>
        <v/>
      </c>
      <c r="N33" t="str">
        <f t="shared" si="1"/>
        <v>000000101</v>
      </c>
      <c r="P33" s="295">
        <v>16</v>
      </c>
      <c r="Q33" s="344">
        <v>17</v>
      </c>
      <c r="R33" s="349">
        <v>18</v>
      </c>
      <c r="S33" s="354">
        <v>19</v>
      </c>
      <c r="T33" s="359">
        <v>20</v>
      </c>
      <c r="U33" s="364">
        <v>21</v>
      </c>
      <c r="V33" s="365">
        <v>63</v>
      </c>
      <c r="W33" s="366">
        <v>105</v>
      </c>
      <c r="X33" s="367">
        <v>147</v>
      </c>
      <c r="Y33" s="368">
        <v>189</v>
      </c>
      <c r="Z33" s="296">
        <v>231</v>
      </c>
    </row>
    <row r="34" spans="2:26" x14ac:dyDescent="0.25">
      <c r="B34">
        <v>22</v>
      </c>
      <c r="C34">
        <f t="shared" si="2"/>
        <v>0</v>
      </c>
      <c r="D34">
        <f t="shared" si="3"/>
        <v>1</v>
      </c>
      <c r="E34">
        <f t="shared" si="4"/>
        <v>0</v>
      </c>
      <c r="G34">
        <v>0</v>
      </c>
      <c r="H34">
        <v>1</v>
      </c>
      <c r="I34">
        <v>0</v>
      </c>
      <c r="J34">
        <f t="shared" si="5"/>
        <v>22</v>
      </c>
      <c r="K34" s="144" t="str">
        <f t="shared" si="0"/>
        <v/>
      </c>
      <c r="N34" t="str">
        <f t="shared" si="1"/>
        <v>000001000</v>
      </c>
      <c r="P34" s="295">
        <v>16</v>
      </c>
      <c r="Q34" s="344">
        <v>17</v>
      </c>
      <c r="R34" s="349">
        <v>18</v>
      </c>
      <c r="S34" s="354">
        <v>19</v>
      </c>
      <c r="T34" s="359">
        <v>20</v>
      </c>
      <c r="U34" s="369">
        <v>57</v>
      </c>
      <c r="V34" s="370">
        <v>99</v>
      </c>
      <c r="W34" s="371">
        <v>141</v>
      </c>
      <c r="X34" s="372">
        <v>183</v>
      </c>
      <c r="Y34" s="373">
        <v>225</v>
      </c>
      <c r="Z34" s="296">
        <v>231</v>
      </c>
    </row>
    <row r="35" spans="2:26" x14ac:dyDescent="0.25">
      <c r="B35">
        <v>23</v>
      </c>
      <c r="C35">
        <f t="shared" si="2"/>
        <v>0</v>
      </c>
      <c r="D35">
        <f t="shared" si="3"/>
        <v>1</v>
      </c>
      <c r="E35">
        <f t="shared" si="4"/>
        <v>1</v>
      </c>
      <c r="G35">
        <v>0</v>
      </c>
      <c r="H35">
        <v>1</v>
      </c>
      <c r="I35">
        <v>1</v>
      </c>
      <c r="J35">
        <f t="shared" si="5"/>
        <v>23</v>
      </c>
      <c r="K35" s="36" t="str">
        <f t="shared" si="0"/>
        <v/>
      </c>
      <c r="N35" t="str">
        <f t="shared" si="1"/>
        <v>000001001</v>
      </c>
      <c r="P35" s="295">
        <v>16</v>
      </c>
      <c r="Q35" s="344">
        <v>17</v>
      </c>
      <c r="R35" s="349">
        <v>18</v>
      </c>
      <c r="S35" s="354">
        <v>19</v>
      </c>
      <c r="T35" s="374">
        <v>56</v>
      </c>
      <c r="U35" s="375">
        <v>93</v>
      </c>
      <c r="V35" s="376">
        <v>135</v>
      </c>
      <c r="W35" s="377">
        <v>177</v>
      </c>
      <c r="X35" s="378">
        <v>219</v>
      </c>
      <c r="Y35" s="373">
        <v>225</v>
      </c>
      <c r="Z35" s="296">
        <v>231</v>
      </c>
    </row>
    <row r="36" spans="2:26" x14ac:dyDescent="0.25">
      <c r="B36">
        <v>24</v>
      </c>
      <c r="C36">
        <f t="shared" si="2"/>
        <v>0</v>
      </c>
      <c r="D36">
        <f t="shared" si="3"/>
        <v>1</v>
      </c>
      <c r="E36">
        <f t="shared" si="4"/>
        <v>2</v>
      </c>
      <c r="G36">
        <v>0</v>
      </c>
      <c r="H36">
        <v>1</v>
      </c>
      <c r="I36">
        <v>2</v>
      </c>
      <c r="J36">
        <f t="shared" si="5"/>
        <v>24</v>
      </c>
      <c r="K36" s="193" t="str">
        <f t="shared" si="0"/>
        <v/>
      </c>
      <c r="N36" t="str">
        <f t="shared" si="1"/>
        <v>000001010</v>
      </c>
      <c r="P36" s="295">
        <v>16</v>
      </c>
      <c r="Q36" s="344">
        <v>17</v>
      </c>
      <c r="R36" s="349">
        <v>18</v>
      </c>
      <c r="S36" s="379">
        <v>55</v>
      </c>
      <c r="T36" s="380">
        <v>92</v>
      </c>
      <c r="U36" s="381">
        <v>129</v>
      </c>
      <c r="V36" s="382">
        <v>171</v>
      </c>
      <c r="W36" s="383">
        <v>213</v>
      </c>
      <c r="X36" s="378">
        <v>219</v>
      </c>
      <c r="Y36" s="373">
        <v>225</v>
      </c>
      <c r="Z36" s="296">
        <v>231</v>
      </c>
    </row>
    <row r="37" spans="2:26" x14ac:dyDescent="0.25">
      <c r="B37">
        <v>25</v>
      </c>
      <c r="C37">
        <f t="shared" si="2"/>
        <v>0</v>
      </c>
      <c r="D37">
        <f t="shared" si="3"/>
        <v>1</v>
      </c>
      <c r="E37">
        <f t="shared" si="4"/>
        <v>3</v>
      </c>
      <c r="G37">
        <v>0</v>
      </c>
      <c r="H37">
        <v>1</v>
      </c>
      <c r="I37">
        <v>3</v>
      </c>
      <c r="J37">
        <f t="shared" si="5"/>
        <v>25</v>
      </c>
      <c r="K37" s="37" t="str">
        <f t="shared" si="0"/>
        <v/>
      </c>
      <c r="N37" t="str">
        <f t="shared" si="1"/>
        <v>000001011</v>
      </c>
      <c r="P37" s="295">
        <v>16</v>
      </c>
      <c r="Q37" s="344">
        <v>17</v>
      </c>
      <c r="R37" s="384">
        <v>54</v>
      </c>
      <c r="S37" s="385">
        <v>91</v>
      </c>
      <c r="T37" s="386">
        <v>128</v>
      </c>
      <c r="U37" s="387">
        <v>165</v>
      </c>
      <c r="V37" s="388">
        <v>207</v>
      </c>
      <c r="W37" s="383">
        <v>213</v>
      </c>
      <c r="X37" s="378">
        <v>219</v>
      </c>
      <c r="Y37" s="373">
        <v>225</v>
      </c>
      <c r="Z37" s="296">
        <v>231</v>
      </c>
    </row>
    <row r="38" spans="2:26" x14ac:dyDescent="0.25">
      <c r="B38">
        <v>26</v>
      </c>
      <c r="C38">
        <f t="shared" si="2"/>
        <v>0</v>
      </c>
      <c r="D38">
        <f t="shared" si="3"/>
        <v>1</v>
      </c>
      <c r="E38">
        <f t="shared" si="4"/>
        <v>4</v>
      </c>
      <c r="G38">
        <v>0</v>
      </c>
      <c r="H38">
        <v>1</v>
      </c>
      <c r="I38">
        <v>4</v>
      </c>
      <c r="J38">
        <f t="shared" si="5"/>
        <v>26</v>
      </c>
      <c r="K38" s="145" t="str">
        <f t="shared" si="0"/>
        <v/>
      </c>
      <c r="N38" t="str">
        <f t="shared" si="1"/>
        <v>000001100</v>
      </c>
      <c r="P38" s="295">
        <v>16</v>
      </c>
      <c r="Q38" s="389">
        <v>53</v>
      </c>
      <c r="R38" s="390">
        <v>90</v>
      </c>
      <c r="S38" s="391">
        <v>127</v>
      </c>
      <c r="T38" s="392">
        <v>164</v>
      </c>
      <c r="U38" s="393">
        <v>201</v>
      </c>
      <c r="V38" s="388">
        <v>207</v>
      </c>
      <c r="W38" s="383">
        <v>213</v>
      </c>
      <c r="X38" s="378">
        <v>219</v>
      </c>
      <c r="Y38" s="373">
        <v>225</v>
      </c>
      <c r="Z38" s="296">
        <v>231</v>
      </c>
    </row>
    <row r="39" spans="2:26" x14ac:dyDescent="0.25">
      <c r="B39">
        <v>27</v>
      </c>
      <c r="C39">
        <f t="shared" si="2"/>
        <v>0</v>
      </c>
      <c r="D39">
        <f t="shared" si="3"/>
        <v>1</v>
      </c>
      <c r="E39">
        <f t="shared" si="4"/>
        <v>5</v>
      </c>
      <c r="G39">
        <v>0</v>
      </c>
      <c r="H39">
        <v>1</v>
      </c>
      <c r="I39">
        <v>5</v>
      </c>
      <c r="J39">
        <f t="shared" si="5"/>
        <v>27</v>
      </c>
      <c r="K39" s="38" t="str">
        <f t="shared" si="0"/>
        <v/>
      </c>
      <c r="N39" t="str">
        <f t="shared" si="1"/>
        <v>000001101</v>
      </c>
      <c r="P39" s="295">
        <v>16</v>
      </c>
      <c r="Q39" s="250">
        <v>52</v>
      </c>
      <c r="R39" s="394">
        <v>89</v>
      </c>
      <c r="S39" s="395">
        <v>126</v>
      </c>
      <c r="T39" s="396">
        <v>163</v>
      </c>
      <c r="U39" s="397">
        <v>200</v>
      </c>
      <c r="V39" s="388">
        <v>207</v>
      </c>
      <c r="W39" s="383">
        <v>213</v>
      </c>
      <c r="X39" s="378">
        <v>219</v>
      </c>
      <c r="Y39" s="373">
        <v>225</v>
      </c>
      <c r="Z39" s="296">
        <v>231</v>
      </c>
    </row>
    <row r="40" spans="2:26" x14ac:dyDescent="0.25">
      <c r="B40">
        <v>28</v>
      </c>
      <c r="C40">
        <f t="shared" si="2"/>
        <v>0</v>
      </c>
      <c r="D40">
        <f t="shared" si="3"/>
        <v>2</v>
      </c>
      <c r="E40">
        <f t="shared" si="4"/>
        <v>0</v>
      </c>
      <c r="G40">
        <v>0</v>
      </c>
      <c r="H40">
        <v>2</v>
      </c>
      <c r="I40">
        <v>0</v>
      </c>
      <c r="J40">
        <f t="shared" si="5"/>
        <v>28</v>
      </c>
      <c r="K40" s="194" t="str">
        <f t="shared" si="0"/>
        <v/>
      </c>
      <c r="N40" t="str">
        <f t="shared" si="1"/>
        <v>000010000</v>
      </c>
      <c r="P40" s="295">
        <v>16</v>
      </c>
      <c r="Q40" s="250">
        <v>52</v>
      </c>
      <c r="R40" s="251">
        <v>88</v>
      </c>
      <c r="S40" s="398">
        <v>125</v>
      </c>
      <c r="T40" s="399">
        <v>162</v>
      </c>
      <c r="U40" s="400">
        <v>199</v>
      </c>
      <c r="V40" s="401">
        <v>206</v>
      </c>
      <c r="W40" s="383">
        <v>213</v>
      </c>
      <c r="X40" s="378">
        <v>219</v>
      </c>
      <c r="Y40" s="373">
        <v>225</v>
      </c>
      <c r="Z40" s="296">
        <v>231</v>
      </c>
    </row>
    <row r="41" spans="2:26" x14ac:dyDescent="0.25">
      <c r="B41">
        <v>29</v>
      </c>
      <c r="C41">
        <f t="shared" si="2"/>
        <v>0</v>
      </c>
      <c r="D41">
        <f t="shared" si="3"/>
        <v>2</v>
      </c>
      <c r="E41">
        <f t="shared" si="4"/>
        <v>1</v>
      </c>
      <c r="G41">
        <v>0</v>
      </c>
      <c r="H41">
        <v>2</v>
      </c>
      <c r="I41">
        <v>1</v>
      </c>
      <c r="J41">
        <f t="shared" si="5"/>
        <v>29</v>
      </c>
      <c r="K41" s="39" t="str">
        <f t="shared" si="0"/>
        <v/>
      </c>
      <c r="N41" t="str">
        <f t="shared" si="1"/>
        <v>000010001</v>
      </c>
      <c r="P41" s="295">
        <v>16</v>
      </c>
      <c r="Q41" s="250">
        <v>52</v>
      </c>
      <c r="R41" s="251">
        <v>88</v>
      </c>
      <c r="S41" s="252">
        <v>124</v>
      </c>
      <c r="T41" s="402">
        <v>161</v>
      </c>
      <c r="U41" s="403">
        <v>198</v>
      </c>
      <c r="V41" s="404">
        <v>205</v>
      </c>
      <c r="W41" s="405">
        <v>212</v>
      </c>
      <c r="X41" s="378">
        <v>219</v>
      </c>
      <c r="Y41" s="373">
        <v>225</v>
      </c>
      <c r="Z41" s="296">
        <v>231</v>
      </c>
    </row>
    <row r="42" spans="2:26" ht="15.75" thickBot="1" x14ac:dyDescent="0.3">
      <c r="B42">
        <v>30</v>
      </c>
      <c r="C42">
        <f t="shared" si="2"/>
        <v>0</v>
      </c>
      <c r="D42">
        <f t="shared" si="3"/>
        <v>2</v>
      </c>
      <c r="E42">
        <f t="shared" si="4"/>
        <v>2</v>
      </c>
      <c r="G42">
        <v>0</v>
      </c>
      <c r="H42">
        <v>2</v>
      </c>
      <c r="I42">
        <v>2</v>
      </c>
      <c r="J42">
        <f t="shared" si="5"/>
        <v>30</v>
      </c>
      <c r="K42" s="146" t="str">
        <f t="shared" si="0"/>
        <v/>
      </c>
      <c r="N42" t="str">
        <f t="shared" si="1"/>
        <v>000010010</v>
      </c>
      <c r="P42" s="297">
        <v>16</v>
      </c>
      <c r="Q42" s="406">
        <v>52</v>
      </c>
      <c r="R42" s="407">
        <v>88</v>
      </c>
      <c r="S42" s="408">
        <v>124</v>
      </c>
      <c r="T42" s="409">
        <v>160</v>
      </c>
      <c r="U42" s="410">
        <v>197</v>
      </c>
      <c r="V42" s="411">
        <v>204</v>
      </c>
      <c r="W42" s="412">
        <v>211</v>
      </c>
      <c r="X42" s="413">
        <v>218</v>
      </c>
      <c r="Y42" s="414">
        <v>225</v>
      </c>
      <c r="Z42" s="298">
        <v>231</v>
      </c>
    </row>
    <row r="43" spans="2:26" x14ac:dyDescent="0.25">
      <c r="B43">
        <v>31</v>
      </c>
      <c r="C43">
        <f t="shared" si="2"/>
        <v>0</v>
      </c>
      <c r="D43">
        <f t="shared" si="3"/>
        <v>2</v>
      </c>
      <c r="E43">
        <f t="shared" si="4"/>
        <v>3</v>
      </c>
      <c r="G43">
        <v>0</v>
      </c>
      <c r="H43">
        <v>2</v>
      </c>
      <c r="I43">
        <v>3</v>
      </c>
      <c r="J43">
        <f t="shared" si="5"/>
        <v>31</v>
      </c>
      <c r="K43" s="40" t="str">
        <f t="shared" si="0"/>
        <v/>
      </c>
      <c r="N43" t="str">
        <f t="shared" si="1"/>
        <v>000010011</v>
      </c>
    </row>
    <row r="44" spans="2:26" x14ac:dyDescent="0.25">
      <c r="B44">
        <v>32</v>
      </c>
      <c r="C44">
        <f t="shared" si="2"/>
        <v>0</v>
      </c>
      <c r="D44">
        <f t="shared" si="3"/>
        <v>2</v>
      </c>
      <c r="E44">
        <f t="shared" si="4"/>
        <v>4</v>
      </c>
      <c r="G44">
        <v>0</v>
      </c>
      <c r="H44">
        <v>2</v>
      </c>
      <c r="I44">
        <v>4</v>
      </c>
      <c r="J44">
        <f t="shared" si="5"/>
        <v>32</v>
      </c>
      <c r="K44" s="195" t="str">
        <f t="shared" si="0"/>
        <v/>
      </c>
      <c r="N44" t="str">
        <f t="shared" si="1"/>
        <v>000010100</v>
      </c>
    </row>
    <row r="45" spans="2:26" x14ac:dyDescent="0.25">
      <c r="B45">
        <v>33</v>
      </c>
      <c r="C45">
        <f t="shared" si="2"/>
        <v>0</v>
      </c>
      <c r="D45">
        <f t="shared" si="3"/>
        <v>2</v>
      </c>
      <c r="E45">
        <f t="shared" si="4"/>
        <v>5</v>
      </c>
      <c r="G45">
        <v>0</v>
      </c>
      <c r="H45">
        <v>2</v>
      </c>
      <c r="I45">
        <v>5</v>
      </c>
      <c r="J45">
        <f t="shared" si="5"/>
        <v>33</v>
      </c>
      <c r="K45" s="41" t="str">
        <f t="shared" si="0"/>
        <v/>
      </c>
      <c r="N45" t="str">
        <f t="shared" si="1"/>
        <v>000010101</v>
      </c>
    </row>
    <row r="46" spans="2:26" x14ac:dyDescent="0.25">
      <c r="B46">
        <v>34</v>
      </c>
      <c r="C46">
        <f t="shared" si="2"/>
        <v>0</v>
      </c>
      <c r="D46">
        <f t="shared" si="3"/>
        <v>3</v>
      </c>
      <c r="E46">
        <f t="shared" si="4"/>
        <v>0</v>
      </c>
      <c r="G46">
        <v>0</v>
      </c>
      <c r="H46">
        <v>3</v>
      </c>
      <c r="I46">
        <v>0</v>
      </c>
      <c r="J46">
        <f t="shared" si="5"/>
        <v>34</v>
      </c>
      <c r="K46" s="32" t="str">
        <f t="shared" si="0"/>
        <v/>
      </c>
      <c r="N46" t="str">
        <f t="shared" si="1"/>
        <v>000011000</v>
      </c>
    </row>
    <row r="47" spans="2:26" x14ac:dyDescent="0.25">
      <c r="B47">
        <v>35</v>
      </c>
      <c r="C47">
        <f t="shared" si="2"/>
        <v>0</v>
      </c>
      <c r="D47">
        <f t="shared" si="3"/>
        <v>3</v>
      </c>
      <c r="E47">
        <f t="shared" si="4"/>
        <v>1</v>
      </c>
      <c r="G47">
        <v>0</v>
      </c>
      <c r="H47">
        <v>3</v>
      </c>
      <c r="I47">
        <v>1</v>
      </c>
      <c r="J47">
        <f t="shared" si="5"/>
        <v>35</v>
      </c>
      <c r="K47" s="42" t="str">
        <f t="shared" si="0"/>
        <v/>
      </c>
      <c r="N47" t="str">
        <f t="shared" si="1"/>
        <v>000011001</v>
      </c>
    </row>
    <row r="48" spans="2:26" x14ac:dyDescent="0.25">
      <c r="B48">
        <v>36</v>
      </c>
      <c r="C48">
        <f t="shared" si="2"/>
        <v>0</v>
      </c>
      <c r="D48">
        <f t="shared" si="3"/>
        <v>3</v>
      </c>
      <c r="E48">
        <f t="shared" si="4"/>
        <v>2</v>
      </c>
      <c r="G48">
        <v>0</v>
      </c>
      <c r="H48">
        <v>3</v>
      </c>
      <c r="I48">
        <v>2</v>
      </c>
      <c r="J48">
        <f t="shared" si="5"/>
        <v>36</v>
      </c>
      <c r="K48" s="196" t="str">
        <f t="shared" si="0"/>
        <v/>
      </c>
      <c r="N48" t="str">
        <f t="shared" si="1"/>
        <v>000011010</v>
      </c>
    </row>
    <row r="49" spans="2:14" x14ac:dyDescent="0.25">
      <c r="B49">
        <v>37</v>
      </c>
      <c r="C49">
        <f t="shared" si="2"/>
        <v>0</v>
      </c>
      <c r="D49">
        <f t="shared" si="3"/>
        <v>3</v>
      </c>
      <c r="E49">
        <f t="shared" si="4"/>
        <v>3</v>
      </c>
      <c r="G49">
        <v>0</v>
      </c>
      <c r="H49">
        <v>3</v>
      </c>
      <c r="I49">
        <v>3</v>
      </c>
      <c r="J49">
        <f t="shared" si="5"/>
        <v>37</v>
      </c>
      <c r="K49" s="34" t="str">
        <f t="shared" si="0"/>
        <v/>
      </c>
      <c r="N49" t="str">
        <f t="shared" si="1"/>
        <v>000011011</v>
      </c>
    </row>
    <row r="50" spans="2:14" x14ac:dyDescent="0.25">
      <c r="B50">
        <v>38</v>
      </c>
      <c r="C50">
        <f t="shared" si="2"/>
        <v>0</v>
      </c>
      <c r="D50">
        <f t="shared" si="3"/>
        <v>3</v>
      </c>
      <c r="E50">
        <f t="shared" si="4"/>
        <v>4</v>
      </c>
      <c r="G50">
        <v>0</v>
      </c>
      <c r="H50">
        <v>3</v>
      </c>
      <c r="I50">
        <v>4</v>
      </c>
      <c r="J50">
        <f t="shared" si="5"/>
        <v>38</v>
      </c>
      <c r="K50" s="147" t="str">
        <f t="shared" si="0"/>
        <v/>
      </c>
      <c r="N50" t="str">
        <f t="shared" si="1"/>
        <v>000011100</v>
      </c>
    </row>
    <row r="51" spans="2:14" x14ac:dyDescent="0.25">
      <c r="B51">
        <v>39</v>
      </c>
      <c r="C51">
        <f t="shared" si="2"/>
        <v>0</v>
      </c>
      <c r="D51">
        <f t="shared" si="3"/>
        <v>3</v>
      </c>
      <c r="E51">
        <f t="shared" si="4"/>
        <v>5</v>
      </c>
      <c r="G51">
        <v>0</v>
      </c>
      <c r="H51">
        <v>3</v>
      </c>
      <c r="I51">
        <v>5</v>
      </c>
      <c r="J51">
        <f t="shared" si="5"/>
        <v>39</v>
      </c>
      <c r="K51" s="43" t="str">
        <f t="shared" si="0"/>
        <v/>
      </c>
      <c r="N51" t="str">
        <f t="shared" si="1"/>
        <v>000011101</v>
      </c>
    </row>
    <row r="52" spans="2:14" x14ac:dyDescent="0.25">
      <c r="B52">
        <v>40</v>
      </c>
      <c r="C52">
        <f t="shared" si="2"/>
        <v>0</v>
      </c>
      <c r="D52">
        <f t="shared" si="3"/>
        <v>4</v>
      </c>
      <c r="E52">
        <f t="shared" si="4"/>
        <v>0</v>
      </c>
      <c r="G52">
        <v>0</v>
      </c>
      <c r="H52">
        <v>4</v>
      </c>
      <c r="I52">
        <v>0</v>
      </c>
      <c r="J52">
        <f t="shared" si="5"/>
        <v>40</v>
      </c>
      <c r="K52" s="197" t="str">
        <f t="shared" si="0"/>
        <v/>
      </c>
      <c r="N52" t="str">
        <f t="shared" si="1"/>
        <v>000100000</v>
      </c>
    </row>
    <row r="53" spans="2:14" x14ac:dyDescent="0.25">
      <c r="B53">
        <v>41</v>
      </c>
      <c r="C53">
        <f t="shared" si="2"/>
        <v>0</v>
      </c>
      <c r="D53">
        <f t="shared" si="3"/>
        <v>4</v>
      </c>
      <c r="E53">
        <f t="shared" si="4"/>
        <v>1</v>
      </c>
      <c r="G53">
        <v>0</v>
      </c>
      <c r="H53">
        <v>4</v>
      </c>
      <c r="I53">
        <v>1</v>
      </c>
      <c r="J53">
        <f t="shared" si="5"/>
        <v>41</v>
      </c>
      <c r="K53" s="44" t="str">
        <f t="shared" si="0"/>
        <v/>
      </c>
      <c r="N53" t="str">
        <f t="shared" si="1"/>
        <v>000100001</v>
      </c>
    </row>
    <row r="54" spans="2:14" x14ac:dyDescent="0.25">
      <c r="B54">
        <v>42</v>
      </c>
      <c r="C54">
        <f t="shared" si="2"/>
        <v>0</v>
      </c>
      <c r="D54">
        <f t="shared" si="3"/>
        <v>4</v>
      </c>
      <c r="E54">
        <f t="shared" si="4"/>
        <v>2</v>
      </c>
      <c r="G54">
        <v>0</v>
      </c>
      <c r="H54">
        <v>4</v>
      </c>
      <c r="I54">
        <v>2</v>
      </c>
      <c r="J54">
        <f t="shared" si="5"/>
        <v>42</v>
      </c>
      <c r="K54" s="148" t="str">
        <f t="shared" si="0"/>
        <v/>
      </c>
      <c r="N54" t="str">
        <f t="shared" si="1"/>
        <v>000100010</v>
      </c>
    </row>
    <row r="55" spans="2:14" x14ac:dyDescent="0.25">
      <c r="B55">
        <v>43</v>
      </c>
      <c r="C55">
        <f t="shared" si="2"/>
        <v>0</v>
      </c>
      <c r="D55">
        <f t="shared" si="3"/>
        <v>4</v>
      </c>
      <c r="E55">
        <f t="shared" si="4"/>
        <v>3</v>
      </c>
      <c r="G55">
        <v>0</v>
      </c>
      <c r="H55">
        <v>4</v>
      </c>
      <c r="I55">
        <v>3</v>
      </c>
      <c r="J55">
        <f t="shared" si="5"/>
        <v>43</v>
      </c>
      <c r="K55" s="45" t="str">
        <f t="shared" si="0"/>
        <v/>
      </c>
      <c r="N55" t="str">
        <f t="shared" si="1"/>
        <v>000100011</v>
      </c>
    </row>
    <row r="56" spans="2:14" x14ac:dyDescent="0.25">
      <c r="B56">
        <v>44</v>
      </c>
      <c r="C56">
        <f t="shared" si="2"/>
        <v>0</v>
      </c>
      <c r="D56">
        <f t="shared" si="3"/>
        <v>4</v>
      </c>
      <c r="E56">
        <f t="shared" si="4"/>
        <v>4</v>
      </c>
      <c r="G56">
        <v>0</v>
      </c>
      <c r="H56">
        <v>4</v>
      </c>
      <c r="I56">
        <v>4</v>
      </c>
      <c r="J56">
        <f t="shared" si="5"/>
        <v>44</v>
      </c>
      <c r="K56" s="198" t="str">
        <f t="shared" si="0"/>
        <v/>
      </c>
      <c r="N56" t="str">
        <f t="shared" si="1"/>
        <v>000100100</v>
      </c>
    </row>
    <row r="57" spans="2:14" x14ac:dyDescent="0.25">
      <c r="B57">
        <v>45</v>
      </c>
      <c r="C57">
        <f t="shared" si="2"/>
        <v>0</v>
      </c>
      <c r="D57">
        <f t="shared" si="3"/>
        <v>4</v>
      </c>
      <c r="E57">
        <f t="shared" si="4"/>
        <v>5</v>
      </c>
      <c r="G57">
        <v>0</v>
      </c>
      <c r="H57">
        <v>4</v>
      </c>
      <c r="I57">
        <v>5</v>
      </c>
      <c r="J57">
        <f t="shared" si="5"/>
        <v>45</v>
      </c>
      <c r="K57" s="46" t="str">
        <f t="shared" si="0"/>
        <v/>
      </c>
      <c r="N57" t="str">
        <f t="shared" si="1"/>
        <v>000100101</v>
      </c>
    </row>
    <row r="58" spans="2:14" x14ac:dyDescent="0.25">
      <c r="B58">
        <v>46</v>
      </c>
      <c r="C58">
        <f t="shared" si="2"/>
        <v>0</v>
      </c>
      <c r="D58">
        <f t="shared" si="3"/>
        <v>5</v>
      </c>
      <c r="E58">
        <f t="shared" si="4"/>
        <v>0</v>
      </c>
      <c r="G58">
        <v>0</v>
      </c>
      <c r="H58">
        <v>5</v>
      </c>
      <c r="I58">
        <v>0</v>
      </c>
      <c r="J58">
        <f t="shared" si="5"/>
        <v>46</v>
      </c>
      <c r="K58" s="28" t="str">
        <f t="shared" si="0"/>
        <v/>
      </c>
      <c r="N58" t="str">
        <f t="shared" si="1"/>
        <v>000101000</v>
      </c>
    </row>
    <row r="59" spans="2:14" x14ac:dyDescent="0.25">
      <c r="B59">
        <v>47</v>
      </c>
      <c r="C59">
        <f t="shared" si="2"/>
        <v>0</v>
      </c>
      <c r="D59">
        <f t="shared" si="3"/>
        <v>5</v>
      </c>
      <c r="E59">
        <f t="shared" si="4"/>
        <v>1</v>
      </c>
      <c r="G59">
        <v>0</v>
      </c>
      <c r="H59">
        <v>5</v>
      </c>
      <c r="I59">
        <v>1</v>
      </c>
      <c r="J59">
        <f t="shared" si="5"/>
        <v>47</v>
      </c>
      <c r="K59" s="47" t="str">
        <f t="shared" si="0"/>
        <v/>
      </c>
      <c r="N59" t="str">
        <f t="shared" si="1"/>
        <v>000101001</v>
      </c>
    </row>
    <row r="60" spans="2:14" x14ac:dyDescent="0.25">
      <c r="B60">
        <v>48</v>
      </c>
      <c r="C60">
        <f t="shared" si="2"/>
        <v>0</v>
      </c>
      <c r="D60">
        <f t="shared" si="3"/>
        <v>5</v>
      </c>
      <c r="E60">
        <f t="shared" si="4"/>
        <v>2</v>
      </c>
      <c r="G60">
        <v>0</v>
      </c>
      <c r="H60">
        <v>5</v>
      </c>
      <c r="I60">
        <v>2</v>
      </c>
      <c r="J60">
        <f t="shared" si="5"/>
        <v>48</v>
      </c>
      <c r="K60" s="199" t="str">
        <f t="shared" si="0"/>
        <v/>
      </c>
      <c r="N60" t="str">
        <f t="shared" si="1"/>
        <v>000101010</v>
      </c>
    </row>
    <row r="61" spans="2:14" x14ac:dyDescent="0.25">
      <c r="B61">
        <v>49</v>
      </c>
      <c r="C61">
        <f t="shared" si="2"/>
        <v>0</v>
      </c>
      <c r="D61">
        <f t="shared" si="3"/>
        <v>5</v>
      </c>
      <c r="E61">
        <f t="shared" si="4"/>
        <v>3</v>
      </c>
      <c r="G61">
        <v>0</v>
      </c>
      <c r="H61">
        <v>5</v>
      </c>
      <c r="I61">
        <v>3</v>
      </c>
      <c r="J61">
        <f t="shared" si="5"/>
        <v>49</v>
      </c>
      <c r="K61" s="48" t="str">
        <f t="shared" si="0"/>
        <v/>
      </c>
      <c r="N61" t="str">
        <f t="shared" si="1"/>
        <v>000101011</v>
      </c>
    </row>
    <row r="62" spans="2:14" x14ac:dyDescent="0.25">
      <c r="B62">
        <v>50</v>
      </c>
      <c r="C62">
        <f t="shared" si="2"/>
        <v>0</v>
      </c>
      <c r="D62">
        <f t="shared" si="3"/>
        <v>5</v>
      </c>
      <c r="E62">
        <f t="shared" si="4"/>
        <v>4</v>
      </c>
      <c r="G62">
        <v>0</v>
      </c>
      <c r="H62">
        <v>5</v>
      </c>
      <c r="I62">
        <v>4</v>
      </c>
      <c r="J62">
        <f t="shared" si="5"/>
        <v>50</v>
      </c>
      <c r="K62" s="149" t="str">
        <f t="shared" si="0"/>
        <v/>
      </c>
      <c r="N62" t="str">
        <f t="shared" si="1"/>
        <v>000101100</v>
      </c>
    </row>
    <row r="63" spans="2:14" x14ac:dyDescent="0.25">
      <c r="B63">
        <v>51</v>
      </c>
      <c r="C63">
        <f t="shared" si="2"/>
        <v>0</v>
      </c>
      <c r="D63">
        <f t="shared" si="3"/>
        <v>5</v>
      </c>
      <c r="E63">
        <f t="shared" si="4"/>
        <v>5</v>
      </c>
      <c r="G63">
        <v>0</v>
      </c>
      <c r="H63">
        <v>5</v>
      </c>
      <c r="I63">
        <v>5</v>
      </c>
      <c r="J63">
        <f t="shared" si="5"/>
        <v>51</v>
      </c>
      <c r="K63" s="30" t="str">
        <f t="shared" si="0"/>
        <v/>
      </c>
      <c r="N63" t="str">
        <f t="shared" si="1"/>
        <v>000101101</v>
      </c>
    </row>
    <row r="64" spans="2:14" x14ac:dyDescent="0.25">
      <c r="B64">
        <v>52</v>
      </c>
      <c r="C64">
        <f t="shared" si="2"/>
        <v>1</v>
      </c>
      <c r="D64">
        <f t="shared" si="3"/>
        <v>0</v>
      </c>
      <c r="E64">
        <f t="shared" si="4"/>
        <v>0</v>
      </c>
      <c r="G64">
        <v>1</v>
      </c>
      <c r="H64">
        <v>0</v>
      </c>
      <c r="I64">
        <v>0</v>
      </c>
      <c r="J64">
        <f t="shared" si="5"/>
        <v>52</v>
      </c>
      <c r="K64" s="200" t="str">
        <f t="shared" si="0"/>
        <v/>
      </c>
      <c r="N64" t="str">
        <f t="shared" si="1"/>
        <v>001000000</v>
      </c>
    </row>
    <row r="65" spans="2:14" x14ac:dyDescent="0.25">
      <c r="B65">
        <v>53</v>
      </c>
      <c r="C65">
        <f t="shared" si="2"/>
        <v>1</v>
      </c>
      <c r="D65">
        <f t="shared" si="3"/>
        <v>0</v>
      </c>
      <c r="E65">
        <f t="shared" si="4"/>
        <v>1</v>
      </c>
      <c r="G65">
        <v>1</v>
      </c>
      <c r="H65">
        <v>0</v>
      </c>
      <c r="I65">
        <v>1</v>
      </c>
      <c r="J65">
        <f t="shared" si="5"/>
        <v>53</v>
      </c>
      <c r="K65" s="49" t="str">
        <f t="shared" si="0"/>
        <v/>
      </c>
      <c r="N65" t="str">
        <f t="shared" si="1"/>
        <v>001000001</v>
      </c>
    </row>
    <row r="66" spans="2:14" x14ac:dyDescent="0.25">
      <c r="B66">
        <v>54</v>
      </c>
      <c r="C66">
        <f t="shared" si="2"/>
        <v>1</v>
      </c>
      <c r="D66">
        <f t="shared" si="3"/>
        <v>0</v>
      </c>
      <c r="E66">
        <f t="shared" si="4"/>
        <v>2</v>
      </c>
      <c r="G66">
        <v>1</v>
      </c>
      <c r="H66">
        <v>0</v>
      </c>
      <c r="I66">
        <v>2</v>
      </c>
      <c r="J66">
        <f t="shared" si="5"/>
        <v>54</v>
      </c>
      <c r="K66" s="150" t="str">
        <f t="shared" si="0"/>
        <v/>
      </c>
      <c r="N66" t="str">
        <f t="shared" si="1"/>
        <v>001000010</v>
      </c>
    </row>
    <row r="67" spans="2:14" x14ac:dyDescent="0.25">
      <c r="B67">
        <v>55</v>
      </c>
      <c r="C67">
        <f t="shared" si="2"/>
        <v>1</v>
      </c>
      <c r="D67">
        <f t="shared" si="3"/>
        <v>0</v>
      </c>
      <c r="E67">
        <f t="shared" si="4"/>
        <v>3</v>
      </c>
      <c r="G67">
        <v>1</v>
      </c>
      <c r="H67">
        <v>0</v>
      </c>
      <c r="I67">
        <v>3</v>
      </c>
      <c r="J67">
        <f t="shared" si="5"/>
        <v>55</v>
      </c>
      <c r="K67" s="50" t="str">
        <f t="shared" si="0"/>
        <v/>
      </c>
      <c r="N67" t="str">
        <f t="shared" si="1"/>
        <v>001000011</v>
      </c>
    </row>
    <row r="68" spans="2:14" x14ac:dyDescent="0.25">
      <c r="B68">
        <v>56</v>
      </c>
      <c r="C68">
        <f t="shared" si="2"/>
        <v>1</v>
      </c>
      <c r="D68">
        <f t="shared" si="3"/>
        <v>0</v>
      </c>
      <c r="E68">
        <f t="shared" si="4"/>
        <v>4</v>
      </c>
      <c r="G68">
        <v>1</v>
      </c>
      <c r="H68">
        <v>0</v>
      </c>
      <c r="I68">
        <v>4</v>
      </c>
      <c r="J68">
        <f t="shared" si="5"/>
        <v>56</v>
      </c>
      <c r="K68" s="201" t="str">
        <f t="shared" si="0"/>
        <v/>
      </c>
      <c r="N68" t="str">
        <f t="shared" si="1"/>
        <v>001000100</v>
      </c>
    </row>
    <row r="69" spans="2:14" x14ac:dyDescent="0.25">
      <c r="B69">
        <v>57</v>
      </c>
      <c r="C69">
        <f t="shared" si="2"/>
        <v>1</v>
      </c>
      <c r="D69">
        <f t="shared" si="3"/>
        <v>0</v>
      </c>
      <c r="E69">
        <f t="shared" si="4"/>
        <v>5</v>
      </c>
      <c r="G69">
        <v>1</v>
      </c>
      <c r="H69">
        <v>0</v>
      </c>
      <c r="I69">
        <v>5</v>
      </c>
      <c r="J69">
        <f t="shared" si="5"/>
        <v>57</v>
      </c>
      <c r="K69" s="51" t="str">
        <f t="shared" si="0"/>
        <v/>
      </c>
      <c r="N69" t="str">
        <f t="shared" si="1"/>
        <v>001000101</v>
      </c>
    </row>
    <row r="70" spans="2:14" x14ac:dyDescent="0.25">
      <c r="B70">
        <v>58</v>
      </c>
      <c r="C70">
        <f t="shared" si="2"/>
        <v>1</v>
      </c>
      <c r="D70">
        <f t="shared" si="3"/>
        <v>1</v>
      </c>
      <c r="E70">
        <f t="shared" si="4"/>
        <v>0</v>
      </c>
      <c r="G70">
        <v>1</v>
      </c>
      <c r="H70">
        <v>1</v>
      </c>
      <c r="I70">
        <v>0</v>
      </c>
      <c r="J70">
        <f t="shared" si="5"/>
        <v>58</v>
      </c>
      <c r="K70" s="151" t="str">
        <f t="shared" si="0"/>
        <v/>
      </c>
      <c r="N70" t="str">
        <f t="shared" si="1"/>
        <v>001001000</v>
      </c>
    </row>
    <row r="71" spans="2:14" x14ac:dyDescent="0.25">
      <c r="B71">
        <v>59</v>
      </c>
      <c r="C71">
        <f t="shared" si="2"/>
        <v>1</v>
      </c>
      <c r="D71">
        <f t="shared" si="3"/>
        <v>1</v>
      </c>
      <c r="E71">
        <f t="shared" si="4"/>
        <v>1</v>
      </c>
      <c r="G71">
        <v>1</v>
      </c>
      <c r="H71">
        <v>1</v>
      </c>
      <c r="I71">
        <v>1</v>
      </c>
      <c r="J71">
        <f t="shared" si="5"/>
        <v>59</v>
      </c>
      <c r="K71" s="52" t="str">
        <f t="shared" si="0"/>
        <v/>
      </c>
      <c r="N71" t="str">
        <f t="shared" si="1"/>
        <v>001001001</v>
      </c>
    </row>
    <row r="72" spans="2:14" x14ac:dyDescent="0.25">
      <c r="B72">
        <v>60</v>
      </c>
      <c r="C72">
        <f t="shared" si="2"/>
        <v>1</v>
      </c>
      <c r="D72">
        <f t="shared" si="3"/>
        <v>1</v>
      </c>
      <c r="E72">
        <f t="shared" si="4"/>
        <v>2</v>
      </c>
      <c r="G72">
        <v>1</v>
      </c>
      <c r="H72">
        <v>1</v>
      </c>
      <c r="I72">
        <v>2</v>
      </c>
      <c r="J72">
        <f t="shared" si="5"/>
        <v>60</v>
      </c>
      <c r="K72" s="202" t="str">
        <f t="shared" si="0"/>
        <v/>
      </c>
      <c r="N72" t="str">
        <f t="shared" si="1"/>
        <v>001001010</v>
      </c>
    </row>
    <row r="73" spans="2:14" x14ac:dyDescent="0.25">
      <c r="B73">
        <v>61</v>
      </c>
      <c r="C73">
        <f t="shared" si="2"/>
        <v>1</v>
      </c>
      <c r="D73">
        <f t="shared" si="3"/>
        <v>1</v>
      </c>
      <c r="E73">
        <f t="shared" si="4"/>
        <v>3</v>
      </c>
      <c r="G73">
        <v>1</v>
      </c>
      <c r="H73">
        <v>1</v>
      </c>
      <c r="I73">
        <v>3</v>
      </c>
      <c r="J73">
        <f t="shared" si="5"/>
        <v>61</v>
      </c>
      <c r="K73" s="53" t="str">
        <f t="shared" si="0"/>
        <v/>
      </c>
      <c r="N73" t="str">
        <f t="shared" si="1"/>
        <v>001001011</v>
      </c>
    </row>
    <row r="74" spans="2:14" x14ac:dyDescent="0.25">
      <c r="B74">
        <v>62</v>
      </c>
      <c r="C74">
        <f t="shared" si="2"/>
        <v>1</v>
      </c>
      <c r="D74">
        <f t="shared" si="3"/>
        <v>1</v>
      </c>
      <c r="E74">
        <f t="shared" si="4"/>
        <v>4</v>
      </c>
      <c r="G74">
        <v>1</v>
      </c>
      <c r="H74">
        <v>1</v>
      </c>
      <c r="I74">
        <v>4</v>
      </c>
      <c r="J74">
        <f t="shared" si="5"/>
        <v>62</v>
      </c>
      <c r="K74" s="152" t="str">
        <f t="shared" si="0"/>
        <v/>
      </c>
      <c r="N74" t="str">
        <f t="shared" si="1"/>
        <v>001001100</v>
      </c>
    </row>
    <row r="75" spans="2:14" x14ac:dyDescent="0.25">
      <c r="B75">
        <v>63</v>
      </c>
      <c r="C75">
        <f t="shared" si="2"/>
        <v>1</v>
      </c>
      <c r="D75">
        <f t="shared" si="3"/>
        <v>1</v>
      </c>
      <c r="E75">
        <f t="shared" si="4"/>
        <v>5</v>
      </c>
      <c r="G75">
        <v>1</v>
      </c>
      <c r="H75">
        <v>1</v>
      </c>
      <c r="I75">
        <v>5</v>
      </c>
      <c r="J75">
        <f t="shared" si="5"/>
        <v>63</v>
      </c>
      <c r="K75" s="54" t="str">
        <f t="shared" si="0"/>
        <v/>
      </c>
      <c r="N75" t="str">
        <f t="shared" si="1"/>
        <v>001001101</v>
      </c>
    </row>
    <row r="76" spans="2:14" x14ac:dyDescent="0.25">
      <c r="B76">
        <v>64</v>
      </c>
      <c r="C76">
        <f t="shared" si="2"/>
        <v>1</v>
      </c>
      <c r="D76">
        <f t="shared" si="3"/>
        <v>2</v>
      </c>
      <c r="E76">
        <f t="shared" si="4"/>
        <v>0</v>
      </c>
      <c r="G76">
        <v>1</v>
      </c>
      <c r="H76">
        <v>2</v>
      </c>
      <c r="I76">
        <v>0</v>
      </c>
      <c r="J76">
        <f t="shared" si="5"/>
        <v>64</v>
      </c>
      <c r="K76" s="203" t="str">
        <f t="shared" si="0"/>
        <v/>
      </c>
      <c r="N76" t="str">
        <f t="shared" si="1"/>
        <v>001010000</v>
      </c>
    </row>
    <row r="77" spans="2:14" x14ac:dyDescent="0.25">
      <c r="B77">
        <v>65</v>
      </c>
      <c r="C77">
        <f t="shared" si="2"/>
        <v>1</v>
      </c>
      <c r="D77">
        <f t="shared" si="3"/>
        <v>2</v>
      </c>
      <c r="E77">
        <f t="shared" si="4"/>
        <v>1</v>
      </c>
      <c r="G77">
        <v>1</v>
      </c>
      <c r="H77">
        <v>2</v>
      </c>
      <c r="I77">
        <v>1</v>
      </c>
      <c r="J77">
        <f t="shared" si="5"/>
        <v>65</v>
      </c>
      <c r="K77" s="55" t="str">
        <f t="shared" ref="K77:K140" si="6">myRGB(G77*51,H77*51,I77*51)</f>
        <v/>
      </c>
      <c r="N77" t="str">
        <f t="shared" ref="N77:N140" si="7">DEC2BIN(G77,3)&amp;DEC2BIN(H77,3)&amp;DEC2BIN(I77,3)</f>
        <v>001010001</v>
      </c>
    </row>
    <row r="78" spans="2:14" x14ac:dyDescent="0.25">
      <c r="B78">
        <v>66</v>
      </c>
      <c r="C78">
        <f t="shared" si="2"/>
        <v>1</v>
      </c>
      <c r="D78">
        <f t="shared" si="3"/>
        <v>2</v>
      </c>
      <c r="E78">
        <f t="shared" si="4"/>
        <v>2</v>
      </c>
      <c r="G78">
        <v>1</v>
      </c>
      <c r="H78">
        <v>2</v>
      </c>
      <c r="I78">
        <v>2</v>
      </c>
      <c r="J78">
        <f t="shared" si="5"/>
        <v>66</v>
      </c>
      <c r="K78" s="153" t="str">
        <f t="shared" si="6"/>
        <v/>
      </c>
      <c r="N78" t="str">
        <f t="shared" si="7"/>
        <v>001010010</v>
      </c>
    </row>
    <row r="79" spans="2:14" x14ac:dyDescent="0.25">
      <c r="B79">
        <v>67</v>
      </c>
      <c r="C79">
        <f t="shared" si="2"/>
        <v>1</v>
      </c>
      <c r="D79">
        <f t="shared" si="3"/>
        <v>2</v>
      </c>
      <c r="E79">
        <f t="shared" si="4"/>
        <v>3</v>
      </c>
      <c r="G79">
        <v>1</v>
      </c>
      <c r="H79">
        <v>2</v>
      </c>
      <c r="I79">
        <v>3</v>
      </c>
      <c r="J79">
        <f t="shared" si="5"/>
        <v>67</v>
      </c>
      <c r="K79" s="56" t="str">
        <f t="shared" si="6"/>
        <v/>
      </c>
      <c r="N79" t="str">
        <f t="shared" si="7"/>
        <v>001010011</v>
      </c>
    </row>
    <row r="80" spans="2:14" x14ac:dyDescent="0.25">
      <c r="B80">
        <v>68</v>
      </c>
      <c r="C80">
        <f t="shared" si="2"/>
        <v>1</v>
      </c>
      <c r="D80">
        <f t="shared" si="3"/>
        <v>2</v>
      </c>
      <c r="E80">
        <f t="shared" si="4"/>
        <v>4</v>
      </c>
      <c r="G80">
        <v>1</v>
      </c>
      <c r="H80">
        <v>2</v>
      </c>
      <c r="I80">
        <v>4</v>
      </c>
      <c r="J80">
        <f t="shared" si="5"/>
        <v>68</v>
      </c>
      <c r="K80" s="204" t="str">
        <f t="shared" si="6"/>
        <v/>
      </c>
      <c r="N80" t="str">
        <f t="shared" si="7"/>
        <v>001010100</v>
      </c>
    </row>
    <row r="81" spans="2:14" x14ac:dyDescent="0.25">
      <c r="B81">
        <v>69</v>
      </c>
      <c r="C81">
        <f t="shared" si="2"/>
        <v>1</v>
      </c>
      <c r="D81">
        <f t="shared" si="3"/>
        <v>2</v>
      </c>
      <c r="E81">
        <f t="shared" si="4"/>
        <v>5</v>
      </c>
      <c r="G81">
        <v>1</v>
      </c>
      <c r="H81">
        <v>2</v>
      </c>
      <c r="I81">
        <v>5</v>
      </c>
      <c r="J81">
        <f t="shared" si="5"/>
        <v>69</v>
      </c>
      <c r="K81" s="57" t="str">
        <f t="shared" si="6"/>
        <v/>
      </c>
      <c r="N81" t="str">
        <f t="shared" si="7"/>
        <v>001010101</v>
      </c>
    </row>
    <row r="82" spans="2:14" x14ac:dyDescent="0.25">
      <c r="B82">
        <v>70</v>
      </c>
      <c r="C82">
        <f t="shared" si="2"/>
        <v>1</v>
      </c>
      <c r="D82">
        <f t="shared" si="3"/>
        <v>3</v>
      </c>
      <c r="E82">
        <f t="shared" si="4"/>
        <v>0</v>
      </c>
      <c r="G82">
        <v>1</v>
      </c>
      <c r="H82">
        <v>3</v>
      </c>
      <c r="I82">
        <v>0</v>
      </c>
      <c r="J82">
        <f t="shared" si="5"/>
        <v>70</v>
      </c>
      <c r="K82" s="154" t="str">
        <f t="shared" si="6"/>
        <v/>
      </c>
      <c r="N82" t="str">
        <f t="shared" si="7"/>
        <v>001011000</v>
      </c>
    </row>
    <row r="83" spans="2:14" x14ac:dyDescent="0.25">
      <c r="B83">
        <v>71</v>
      </c>
      <c r="C83">
        <f t="shared" si="2"/>
        <v>1</v>
      </c>
      <c r="D83">
        <f t="shared" si="3"/>
        <v>3</v>
      </c>
      <c r="E83">
        <f t="shared" si="4"/>
        <v>1</v>
      </c>
      <c r="G83">
        <v>1</v>
      </c>
      <c r="H83">
        <v>3</v>
      </c>
      <c r="I83">
        <v>1</v>
      </c>
      <c r="J83">
        <f t="shared" si="5"/>
        <v>71</v>
      </c>
      <c r="K83" s="58" t="str">
        <f t="shared" si="6"/>
        <v/>
      </c>
      <c r="N83" t="str">
        <f t="shared" si="7"/>
        <v>001011001</v>
      </c>
    </row>
    <row r="84" spans="2:14" x14ac:dyDescent="0.25">
      <c r="B84">
        <v>72</v>
      </c>
      <c r="C84">
        <f t="shared" si="2"/>
        <v>1</v>
      </c>
      <c r="D84">
        <f t="shared" si="3"/>
        <v>3</v>
      </c>
      <c r="E84">
        <f t="shared" si="4"/>
        <v>2</v>
      </c>
      <c r="G84">
        <v>1</v>
      </c>
      <c r="H84">
        <v>3</v>
      </c>
      <c r="I84">
        <v>2</v>
      </c>
      <c r="J84">
        <f t="shared" si="5"/>
        <v>72</v>
      </c>
      <c r="K84" s="205" t="str">
        <f t="shared" si="6"/>
        <v/>
      </c>
      <c r="N84" t="str">
        <f t="shared" si="7"/>
        <v>001011010</v>
      </c>
    </row>
    <row r="85" spans="2:14" x14ac:dyDescent="0.25">
      <c r="B85">
        <v>73</v>
      </c>
      <c r="C85">
        <f t="shared" si="2"/>
        <v>1</v>
      </c>
      <c r="D85">
        <f t="shared" si="3"/>
        <v>3</v>
      </c>
      <c r="E85">
        <f t="shared" si="4"/>
        <v>3</v>
      </c>
      <c r="G85">
        <v>1</v>
      </c>
      <c r="H85">
        <v>3</v>
      </c>
      <c r="I85">
        <v>3</v>
      </c>
      <c r="J85">
        <f t="shared" si="5"/>
        <v>73</v>
      </c>
      <c r="K85" s="59" t="str">
        <f t="shared" si="6"/>
        <v/>
      </c>
      <c r="N85" t="str">
        <f t="shared" si="7"/>
        <v>001011011</v>
      </c>
    </row>
    <row r="86" spans="2:14" x14ac:dyDescent="0.25">
      <c r="B86">
        <v>74</v>
      </c>
      <c r="C86">
        <f t="shared" si="2"/>
        <v>1</v>
      </c>
      <c r="D86">
        <f t="shared" si="3"/>
        <v>3</v>
      </c>
      <c r="E86">
        <f t="shared" si="4"/>
        <v>4</v>
      </c>
      <c r="G86">
        <v>1</v>
      </c>
      <c r="H86">
        <v>3</v>
      </c>
      <c r="I86">
        <v>4</v>
      </c>
      <c r="J86">
        <f t="shared" si="5"/>
        <v>74</v>
      </c>
      <c r="K86" s="155" t="str">
        <f t="shared" si="6"/>
        <v/>
      </c>
      <c r="N86" t="str">
        <f t="shared" si="7"/>
        <v>001011100</v>
      </c>
    </row>
    <row r="87" spans="2:14" x14ac:dyDescent="0.25">
      <c r="B87">
        <v>75</v>
      </c>
      <c r="C87">
        <f t="shared" si="2"/>
        <v>1</v>
      </c>
      <c r="D87">
        <f t="shared" si="3"/>
        <v>3</v>
      </c>
      <c r="E87">
        <f t="shared" si="4"/>
        <v>5</v>
      </c>
      <c r="G87">
        <v>1</v>
      </c>
      <c r="H87">
        <v>3</v>
      </c>
      <c r="I87">
        <v>5</v>
      </c>
      <c r="J87">
        <f t="shared" si="5"/>
        <v>75</v>
      </c>
      <c r="K87" s="60" t="str">
        <f t="shared" si="6"/>
        <v/>
      </c>
      <c r="N87" t="str">
        <f t="shared" si="7"/>
        <v>001011101</v>
      </c>
    </row>
    <row r="88" spans="2:14" x14ac:dyDescent="0.25">
      <c r="B88">
        <v>76</v>
      </c>
      <c r="C88">
        <f t="shared" si="2"/>
        <v>1</v>
      </c>
      <c r="D88">
        <f t="shared" si="3"/>
        <v>4</v>
      </c>
      <c r="E88">
        <f t="shared" si="4"/>
        <v>0</v>
      </c>
      <c r="G88">
        <v>1</v>
      </c>
      <c r="H88">
        <v>4</v>
      </c>
      <c r="I88">
        <v>0</v>
      </c>
      <c r="J88">
        <f t="shared" si="5"/>
        <v>76</v>
      </c>
      <c r="K88" s="206" t="str">
        <f t="shared" si="6"/>
        <v/>
      </c>
      <c r="N88" t="str">
        <f t="shared" si="7"/>
        <v>001100000</v>
      </c>
    </row>
    <row r="89" spans="2:14" x14ac:dyDescent="0.25">
      <c r="B89">
        <v>77</v>
      </c>
      <c r="C89">
        <f t="shared" si="2"/>
        <v>1</v>
      </c>
      <c r="D89">
        <f t="shared" si="3"/>
        <v>4</v>
      </c>
      <c r="E89">
        <f t="shared" si="4"/>
        <v>1</v>
      </c>
      <c r="G89">
        <v>1</v>
      </c>
      <c r="H89">
        <v>4</v>
      </c>
      <c r="I89">
        <v>1</v>
      </c>
      <c r="J89">
        <f t="shared" si="5"/>
        <v>77</v>
      </c>
      <c r="K89" s="61" t="str">
        <f t="shared" si="6"/>
        <v/>
      </c>
      <c r="N89" t="str">
        <f t="shared" si="7"/>
        <v>001100001</v>
      </c>
    </row>
    <row r="90" spans="2:14" x14ac:dyDescent="0.25">
      <c r="B90">
        <v>78</v>
      </c>
      <c r="C90">
        <f t="shared" si="2"/>
        <v>1</v>
      </c>
      <c r="D90">
        <f t="shared" si="3"/>
        <v>4</v>
      </c>
      <c r="E90">
        <f t="shared" si="4"/>
        <v>2</v>
      </c>
      <c r="G90">
        <v>1</v>
      </c>
      <c r="H90">
        <v>4</v>
      </c>
      <c r="I90">
        <v>2</v>
      </c>
      <c r="J90">
        <f t="shared" si="5"/>
        <v>78</v>
      </c>
      <c r="K90" s="156" t="str">
        <f t="shared" si="6"/>
        <v/>
      </c>
      <c r="N90" t="str">
        <f t="shared" si="7"/>
        <v>001100010</v>
      </c>
    </row>
    <row r="91" spans="2:14" x14ac:dyDescent="0.25">
      <c r="B91">
        <v>79</v>
      </c>
      <c r="C91">
        <f t="shared" si="2"/>
        <v>1</v>
      </c>
      <c r="D91">
        <f t="shared" si="3"/>
        <v>4</v>
      </c>
      <c r="E91">
        <f t="shared" si="4"/>
        <v>3</v>
      </c>
      <c r="G91">
        <v>1</v>
      </c>
      <c r="H91">
        <v>4</v>
      </c>
      <c r="I91">
        <v>3</v>
      </c>
      <c r="J91">
        <f t="shared" si="5"/>
        <v>79</v>
      </c>
      <c r="K91" s="62" t="str">
        <f t="shared" si="6"/>
        <v/>
      </c>
      <c r="N91" t="str">
        <f t="shared" si="7"/>
        <v>001100011</v>
      </c>
    </row>
    <row r="92" spans="2:14" x14ac:dyDescent="0.25">
      <c r="B92">
        <v>80</v>
      </c>
      <c r="C92">
        <f t="shared" si="2"/>
        <v>1</v>
      </c>
      <c r="D92">
        <f t="shared" si="3"/>
        <v>4</v>
      </c>
      <c r="E92">
        <f t="shared" si="4"/>
        <v>4</v>
      </c>
      <c r="G92">
        <v>1</v>
      </c>
      <c r="H92">
        <v>4</v>
      </c>
      <c r="I92">
        <v>4</v>
      </c>
      <c r="J92">
        <f t="shared" si="5"/>
        <v>80</v>
      </c>
      <c r="K92" s="207" t="str">
        <f t="shared" si="6"/>
        <v/>
      </c>
      <c r="N92" t="str">
        <f t="shared" si="7"/>
        <v>001100100</v>
      </c>
    </row>
    <row r="93" spans="2:14" x14ac:dyDescent="0.25">
      <c r="B93">
        <v>81</v>
      </c>
      <c r="C93">
        <f t="shared" ref="C93:C156" si="8">INT(((B93-16)/36))</f>
        <v>1</v>
      </c>
      <c r="D93">
        <f t="shared" ref="D93:D156" si="9">INT(MOD(B93-16,36)/6)</f>
        <v>4</v>
      </c>
      <c r="E93">
        <f t="shared" ref="E93:E156" si="10">INT(MOD(B93-16,6))</f>
        <v>5</v>
      </c>
      <c r="G93">
        <v>1</v>
      </c>
      <c r="H93">
        <v>4</v>
      </c>
      <c r="I93">
        <v>5</v>
      </c>
      <c r="J93">
        <f t="shared" ref="J93:J135" si="11">16+36*G93+6*H93+I93</f>
        <v>81</v>
      </c>
      <c r="K93" s="63" t="str">
        <f t="shared" si="6"/>
        <v/>
      </c>
      <c r="N93" t="str">
        <f t="shared" si="7"/>
        <v>001100101</v>
      </c>
    </row>
    <row r="94" spans="2:14" x14ac:dyDescent="0.25">
      <c r="B94">
        <v>82</v>
      </c>
      <c r="C94">
        <f t="shared" si="8"/>
        <v>1</v>
      </c>
      <c r="D94">
        <f t="shared" si="9"/>
        <v>5</v>
      </c>
      <c r="E94">
        <f t="shared" si="10"/>
        <v>0</v>
      </c>
      <c r="G94">
        <v>1</v>
      </c>
      <c r="H94">
        <v>5</v>
      </c>
      <c r="I94">
        <v>0</v>
      </c>
      <c r="J94">
        <f t="shared" si="11"/>
        <v>82</v>
      </c>
      <c r="K94" s="157" t="str">
        <f t="shared" si="6"/>
        <v/>
      </c>
      <c r="N94" t="str">
        <f t="shared" si="7"/>
        <v>001101000</v>
      </c>
    </row>
    <row r="95" spans="2:14" x14ac:dyDescent="0.25">
      <c r="B95">
        <v>83</v>
      </c>
      <c r="C95">
        <f t="shared" si="8"/>
        <v>1</v>
      </c>
      <c r="D95">
        <f t="shared" si="9"/>
        <v>5</v>
      </c>
      <c r="E95">
        <f t="shared" si="10"/>
        <v>1</v>
      </c>
      <c r="G95">
        <v>1</v>
      </c>
      <c r="H95">
        <v>5</v>
      </c>
      <c r="I95">
        <v>1</v>
      </c>
      <c r="J95">
        <f t="shared" si="11"/>
        <v>83</v>
      </c>
      <c r="K95" s="64" t="str">
        <f t="shared" si="6"/>
        <v/>
      </c>
      <c r="N95" t="str">
        <f t="shared" si="7"/>
        <v>001101001</v>
      </c>
    </row>
    <row r="96" spans="2:14" x14ac:dyDescent="0.25">
      <c r="B96">
        <v>84</v>
      </c>
      <c r="C96">
        <f t="shared" si="8"/>
        <v>1</v>
      </c>
      <c r="D96">
        <f t="shared" si="9"/>
        <v>5</v>
      </c>
      <c r="E96">
        <f t="shared" si="10"/>
        <v>2</v>
      </c>
      <c r="G96">
        <v>1</v>
      </c>
      <c r="H96">
        <v>5</v>
      </c>
      <c r="I96">
        <v>2</v>
      </c>
      <c r="J96">
        <f t="shared" si="11"/>
        <v>84</v>
      </c>
      <c r="K96" s="208" t="str">
        <f t="shared" si="6"/>
        <v/>
      </c>
      <c r="N96" t="str">
        <f t="shared" si="7"/>
        <v>001101010</v>
      </c>
    </row>
    <row r="97" spans="2:14" x14ac:dyDescent="0.25">
      <c r="B97">
        <v>85</v>
      </c>
      <c r="C97">
        <f t="shared" si="8"/>
        <v>1</v>
      </c>
      <c r="D97">
        <f t="shared" si="9"/>
        <v>5</v>
      </c>
      <c r="E97">
        <f t="shared" si="10"/>
        <v>3</v>
      </c>
      <c r="G97">
        <v>1</v>
      </c>
      <c r="H97">
        <v>5</v>
      </c>
      <c r="I97">
        <v>3</v>
      </c>
      <c r="J97">
        <f t="shared" si="11"/>
        <v>85</v>
      </c>
      <c r="K97" s="65" t="str">
        <f t="shared" si="6"/>
        <v/>
      </c>
      <c r="N97" t="str">
        <f t="shared" si="7"/>
        <v>001101011</v>
      </c>
    </row>
    <row r="98" spans="2:14" x14ac:dyDescent="0.25">
      <c r="B98">
        <v>86</v>
      </c>
      <c r="C98">
        <f t="shared" si="8"/>
        <v>1</v>
      </c>
      <c r="D98">
        <f t="shared" si="9"/>
        <v>5</v>
      </c>
      <c r="E98">
        <f t="shared" si="10"/>
        <v>4</v>
      </c>
      <c r="G98">
        <v>1</v>
      </c>
      <c r="H98">
        <v>5</v>
      </c>
      <c r="I98">
        <v>4</v>
      </c>
      <c r="J98">
        <f t="shared" si="11"/>
        <v>86</v>
      </c>
      <c r="K98" s="158" t="str">
        <f t="shared" si="6"/>
        <v/>
      </c>
      <c r="N98" t="str">
        <f t="shared" si="7"/>
        <v>001101100</v>
      </c>
    </row>
    <row r="99" spans="2:14" x14ac:dyDescent="0.25">
      <c r="B99">
        <v>87</v>
      </c>
      <c r="C99">
        <f t="shared" si="8"/>
        <v>1</v>
      </c>
      <c r="D99">
        <f t="shared" si="9"/>
        <v>5</v>
      </c>
      <c r="E99">
        <f t="shared" si="10"/>
        <v>5</v>
      </c>
      <c r="G99">
        <v>1</v>
      </c>
      <c r="H99">
        <v>5</v>
      </c>
      <c r="I99">
        <v>5</v>
      </c>
      <c r="J99">
        <f t="shared" si="11"/>
        <v>87</v>
      </c>
      <c r="K99" s="66" t="str">
        <f t="shared" si="6"/>
        <v/>
      </c>
      <c r="N99" t="str">
        <f t="shared" si="7"/>
        <v>001101101</v>
      </c>
    </row>
    <row r="100" spans="2:14" x14ac:dyDescent="0.25">
      <c r="B100">
        <v>88</v>
      </c>
      <c r="C100">
        <f t="shared" si="8"/>
        <v>2</v>
      </c>
      <c r="D100">
        <f t="shared" si="9"/>
        <v>0</v>
      </c>
      <c r="E100">
        <f t="shared" si="10"/>
        <v>0</v>
      </c>
      <c r="G100">
        <v>2</v>
      </c>
      <c r="H100">
        <v>0</v>
      </c>
      <c r="I100">
        <v>0</v>
      </c>
      <c r="J100">
        <f t="shared" si="11"/>
        <v>88</v>
      </c>
      <c r="K100" s="209" t="str">
        <f t="shared" si="6"/>
        <v/>
      </c>
      <c r="N100" t="str">
        <f t="shared" si="7"/>
        <v>010000000</v>
      </c>
    </row>
    <row r="101" spans="2:14" x14ac:dyDescent="0.25">
      <c r="B101">
        <v>89</v>
      </c>
      <c r="C101">
        <f t="shared" si="8"/>
        <v>2</v>
      </c>
      <c r="D101">
        <f t="shared" si="9"/>
        <v>0</v>
      </c>
      <c r="E101">
        <f t="shared" si="10"/>
        <v>1</v>
      </c>
      <c r="G101">
        <v>2</v>
      </c>
      <c r="H101">
        <v>0</v>
      </c>
      <c r="I101">
        <v>1</v>
      </c>
      <c r="J101">
        <f t="shared" si="11"/>
        <v>89</v>
      </c>
      <c r="K101" s="67" t="str">
        <f t="shared" si="6"/>
        <v/>
      </c>
      <c r="N101" t="str">
        <f t="shared" si="7"/>
        <v>010000001</v>
      </c>
    </row>
    <row r="102" spans="2:14" x14ac:dyDescent="0.25">
      <c r="B102">
        <v>90</v>
      </c>
      <c r="C102">
        <f t="shared" si="8"/>
        <v>2</v>
      </c>
      <c r="D102">
        <f t="shared" si="9"/>
        <v>0</v>
      </c>
      <c r="E102">
        <f t="shared" si="10"/>
        <v>2</v>
      </c>
      <c r="G102">
        <v>2</v>
      </c>
      <c r="H102">
        <v>0</v>
      </c>
      <c r="I102">
        <v>2</v>
      </c>
      <c r="J102">
        <f t="shared" si="11"/>
        <v>90</v>
      </c>
      <c r="K102" s="159" t="str">
        <f t="shared" si="6"/>
        <v/>
      </c>
      <c r="N102" t="str">
        <f t="shared" si="7"/>
        <v>010000010</v>
      </c>
    </row>
    <row r="103" spans="2:14" x14ac:dyDescent="0.25">
      <c r="B103">
        <v>91</v>
      </c>
      <c r="C103">
        <f t="shared" si="8"/>
        <v>2</v>
      </c>
      <c r="D103">
        <f t="shared" si="9"/>
        <v>0</v>
      </c>
      <c r="E103">
        <f t="shared" si="10"/>
        <v>3</v>
      </c>
      <c r="G103">
        <v>2</v>
      </c>
      <c r="H103">
        <v>0</v>
      </c>
      <c r="I103">
        <v>3</v>
      </c>
      <c r="J103">
        <f t="shared" si="11"/>
        <v>91</v>
      </c>
      <c r="K103" s="68" t="str">
        <f t="shared" si="6"/>
        <v/>
      </c>
      <c r="N103" t="str">
        <f t="shared" si="7"/>
        <v>010000011</v>
      </c>
    </row>
    <row r="104" spans="2:14" x14ac:dyDescent="0.25">
      <c r="B104">
        <v>92</v>
      </c>
      <c r="C104">
        <f t="shared" si="8"/>
        <v>2</v>
      </c>
      <c r="D104">
        <f t="shared" si="9"/>
        <v>0</v>
      </c>
      <c r="E104">
        <f t="shared" si="10"/>
        <v>4</v>
      </c>
      <c r="G104">
        <v>2</v>
      </c>
      <c r="H104">
        <v>0</v>
      </c>
      <c r="I104">
        <v>4</v>
      </c>
      <c r="J104">
        <f t="shared" si="11"/>
        <v>92</v>
      </c>
      <c r="K104" s="210" t="str">
        <f t="shared" si="6"/>
        <v/>
      </c>
      <c r="N104" t="str">
        <f t="shared" si="7"/>
        <v>010000100</v>
      </c>
    </row>
    <row r="105" spans="2:14" x14ac:dyDescent="0.25">
      <c r="B105">
        <v>93</v>
      </c>
      <c r="C105">
        <f t="shared" si="8"/>
        <v>2</v>
      </c>
      <c r="D105">
        <f t="shared" si="9"/>
        <v>0</v>
      </c>
      <c r="E105">
        <f t="shared" si="10"/>
        <v>5</v>
      </c>
      <c r="G105">
        <v>2</v>
      </c>
      <c r="H105">
        <v>0</v>
      </c>
      <c r="I105">
        <v>5</v>
      </c>
      <c r="J105">
        <f t="shared" si="11"/>
        <v>93</v>
      </c>
      <c r="K105" s="69" t="str">
        <f t="shared" si="6"/>
        <v/>
      </c>
      <c r="N105" t="str">
        <f t="shared" si="7"/>
        <v>010000101</v>
      </c>
    </row>
    <row r="106" spans="2:14" x14ac:dyDescent="0.25">
      <c r="B106">
        <v>94</v>
      </c>
      <c r="C106">
        <f t="shared" si="8"/>
        <v>2</v>
      </c>
      <c r="D106">
        <f t="shared" si="9"/>
        <v>1</v>
      </c>
      <c r="E106">
        <f t="shared" si="10"/>
        <v>0</v>
      </c>
      <c r="G106">
        <v>2</v>
      </c>
      <c r="H106">
        <v>1</v>
      </c>
      <c r="I106">
        <v>0</v>
      </c>
      <c r="J106">
        <f t="shared" si="11"/>
        <v>94</v>
      </c>
      <c r="K106" s="160" t="str">
        <f t="shared" si="6"/>
        <v/>
      </c>
      <c r="N106" t="str">
        <f t="shared" si="7"/>
        <v>010001000</v>
      </c>
    </row>
    <row r="107" spans="2:14" x14ac:dyDescent="0.25">
      <c r="B107">
        <v>95</v>
      </c>
      <c r="C107">
        <f t="shared" si="8"/>
        <v>2</v>
      </c>
      <c r="D107">
        <f t="shared" si="9"/>
        <v>1</v>
      </c>
      <c r="E107">
        <f t="shared" si="10"/>
        <v>1</v>
      </c>
      <c r="G107">
        <v>2</v>
      </c>
      <c r="H107">
        <v>1</v>
      </c>
      <c r="I107">
        <v>1</v>
      </c>
      <c r="J107">
        <f t="shared" si="11"/>
        <v>95</v>
      </c>
      <c r="K107" s="70" t="str">
        <f t="shared" si="6"/>
        <v/>
      </c>
      <c r="N107" t="str">
        <f t="shared" si="7"/>
        <v>010001001</v>
      </c>
    </row>
    <row r="108" spans="2:14" x14ac:dyDescent="0.25">
      <c r="B108">
        <v>96</v>
      </c>
      <c r="C108">
        <f t="shared" si="8"/>
        <v>2</v>
      </c>
      <c r="D108">
        <f t="shared" si="9"/>
        <v>1</v>
      </c>
      <c r="E108">
        <f t="shared" si="10"/>
        <v>2</v>
      </c>
      <c r="G108">
        <v>2</v>
      </c>
      <c r="H108">
        <v>1</v>
      </c>
      <c r="I108">
        <v>2</v>
      </c>
      <c r="J108">
        <f t="shared" si="11"/>
        <v>96</v>
      </c>
      <c r="K108" s="211" t="str">
        <f t="shared" si="6"/>
        <v/>
      </c>
      <c r="N108" t="str">
        <f t="shared" si="7"/>
        <v>010001010</v>
      </c>
    </row>
    <row r="109" spans="2:14" x14ac:dyDescent="0.25">
      <c r="B109">
        <v>97</v>
      </c>
      <c r="C109">
        <f t="shared" si="8"/>
        <v>2</v>
      </c>
      <c r="D109">
        <f t="shared" si="9"/>
        <v>1</v>
      </c>
      <c r="E109">
        <f t="shared" si="10"/>
        <v>3</v>
      </c>
      <c r="G109">
        <v>2</v>
      </c>
      <c r="H109">
        <v>1</v>
      </c>
      <c r="I109">
        <v>3</v>
      </c>
      <c r="J109">
        <f t="shared" si="11"/>
        <v>97</v>
      </c>
      <c r="K109" s="71" t="str">
        <f t="shared" si="6"/>
        <v/>
      </c>
      <c r="N109" t="str">
        <f t="shared" si="7"/>
        <v>010001011</v>
      </c>
    </row>
    <row r="110" spans="2:14" x14ac:dyDescent="0.25">
      <c r="B110">
        <v>98</v>
      </c>
      <c r="C110">
        <f t="shared" si="8"/>
        <v>2</v>
      </c>
      <c r="D110">
        <f t="shared" si="9"/>
        <v>1</v>
      </c>
      <c r="E110">
        <f t="shared" si="10"/>
        <v>4</v>
      </c>
      <c r="G110">
        <v>2</v>
      </c>
      <c r="H110">
        <v>1</v>
      </c>
      <c r="I110">
        <v>4</v>
      </c>
      <c r="J110">
        <f t="shared" si="11"/>
        <v>98</v>
      </c>
      <c r="K110" s="161" t="str">
        <f t="shared" si="6"/>
        <v/>
      </c>
      <c r="N110" t="str">
        <f t="shared" si="7"/>
        <v>010001100</v>
      </c>
    </row>
    <row r="111" spans="2:14" x14ac:dyDescent="0.25">
      <c r="B111">
        <v>99</v>
      </c>
      <c r="C111">
        <f t="shared" si="8"/>
        <v>2</v>
      </c>
      <c r="D111">
        <f t="shared" si="9"/>
        <v>1</v>
      </c>
      <c r="E111">
        <f t="shared" si="10"/>
        <v>5</v>
      </c>
      <c r="G111">
        <v>2</v>
      </c>
      <c r="H111">
        <v>1</v>
      </c>
      <c r="I111">
        <v>5</v>
      </c>
      <c r="J111">
        <f t="shared" si="11"/>
        <v>99</v>
      </c>
      <c r="K111" s="72" t="str">
        <f t="shared" si="6"/>
        <v/>
      </c>
      <c r="N111" t="str">
        <f t="shared" si="7"/>
        <v>010001101</v>
      </c>
    </row>
    <row r="112" spans="2:14" x14ac:dyDescent="0.25">
      <c r="B112">
        <v>100</v>
      </c>
      <c r="C112">
        <f t="shared" si="8"/>
        <v>2</v>
      </c>
      <c r="D112">
        <f t="shared" si="9"/>
        <v>2</v>
      </c>
      <c r="E112">
        <f t="shared" si="10"/>
        <v>0</v>
      </c>
      <c r="G112">
        <v>2</v>
      </c>
      <c r="H112">
        <v>2</v>
      </c>
      <c r="I112">
        <v>0</v>
      </c>
      <c r="J112">
        <f t="shared" si="11"/>
        <v>100</v>
      </c>
      <c r="K112" s="212" t="str">
        <f t="shared" si="6"/>
        <v/>
      </c>
      <c r="N112" t="str">
        <f t="shared" si="7"/>
        <v>010010000</v>
      </c>
    </row>
    <row r="113" spans="2:14" x14ac:dyDescent="0.25">
      <c r="B113">
        <v>101</v>
      </c>
      <c r="C113">
        <f t="shared" si="8"/>
        <v>2</v>
      </c>
      <c r="D113">
        <f t="shared" si="9"/>
        <v>2</v>
      </c>
      <c r="E113">
        <f t="shared" si="10"/>
        <v>1</v>
      </c>
      <c r="G113">
        <v>2</v>
      </c>
      <c r="H113">
        <v>2</v>
      </c>
      <c r="I113">
        <v>1</v>
      </c>
      <c r="J113">
        <f t="shared" si="11"/>
        <v>101</v>
      </c>
      <c r="K113" s="73" t="str">
        <f t="shared" si="6"/>
        <v/>
      </c>
      <c r="N113" t="str">
        <f t="shared" si="7"/>
        <v>010010001</v>
      </c>
    </row>
    <row r="114" spans="2:14" x14ac:dyDescent="0.25">
      <c r="B114">
        <v>102</v>
      </c>
      <c r="C114">
        <f t="shared" si="8"/>
        <v>2</v>
      </c>
      <c r="D114">
        <f t="shared" si="9"/>
        <v>2</v>
      </c>
      <c r="E114">
        <f t="shared" si="10"/>
        <v>2</v>
      </c>
      <c r="G114">
        <v>2</v>
      </c>
      <c r="H114">
        <v>2</v>
      </c>
      <c r="I114">
        <v>2</v>
      </c>
      <c r="J114">
        <f t="shared" si="11"/>
        <v>102</v>
      </c>
      <c r="K114" s="162" t="str">
        <f t="shared" si="6"/>
        <v/>
      </c>
      <c r="N114" t="str">
        <f t="shared" si="7"/>
        <v>010010010</v>
      </c>
    </row>
    <row r="115" spans="2:14" x14ac:dyDescent="0.25">
      <c r="B115">
        <v>103</v>
      </c>
      <c r="C115">
        <f t="shared" si="8"/>
        <v>2</v>
      </c>
      <c r="D115">
        <f t="shared" si="9"/>
        <v>2</v>
      </c>
      <c r="E115">
        <f t="shared" si="10"/>
        <v>3</v>
      </c>
      <c r="G115">
        <v>2</v>
      </c>
      <c r="H115">
        <v>2</v>
      </c>
      <c r="I115">
        <v>3</v>
      </c>
      <c r="J115">
        <f t="shared" si="11"/>
        <v>103</v>
      </c>
      <c r="K115" s="74" t="str">
        <f t="shared" si="6"/>
        <v/>
      </c>
      <c r="N115" t="str">
        <f t="shared" si="7"/>
        <v>010010011</v>
      </c>
    </row>
    <row r="116" spans="2:14" x14ac:dyDescent="0.25">
      <c r="B116">
        <v>104</v>
      </c>
      <c r="C116">
        <f t="shared" si="8"/>
        <v>2</v>
      </c>
      <c r="D116">
        <f t="shared" si="9"/>
        <v>2</v>
      </c>
      <c r="E116">
        <f t="shared" si="10"/>
        <v>4</v>
      </c>
      <c r="G116">
        <v>2</v>
      </c>
      <c r="H116">
        <v>2</v>
      </c>
      <c r="I116">
        <v>4</v>
      </c>
      <c r="J116">
        <f t="shared" si="11"/>
        <v>104</v>
      </c>
      <c r="K116" s="213" t="str">
        <f t="shared" si="6"/>
        <v/>
      </c>
      <c r="N116" t="str">
        <f t="shared" si="7"/>
        <v>010010100</v>
      </c>
    </row>
    <row r="117" spans="2:14" x14ac:dyDescent="0.25">
      <c r="B117">
        <v>105</v>
      </c>
      <c r="C117">
        <f t="shared" si="8"/>
        <v>2</v>
      </c>
      <c r="D117">
        <f t="shared" si="9"/>
        <v>2</v>
      </c>
      <c r="E117">
        <f t="shared" si="10"/>
        <v>5</v>
      </c>
      <c r="G117">
        <v>2</v>
      </c>
      <c r="H117">
        <v>2</v>
      </c>
      <c r="I117">
        <v>5</v>
      </c>
      <c r="J117">
        <f t="shared" si="11"/>
        <v>105</v>
      </c>
      <c r="K117" s="75" t="str">
        <f t="shared" si="6"/>
        <v/>
      </c>
      <c r="N117" t="str">
        <f t="shared" si="7"/>
        <v>010010101</v>
      </c>
    </row>
    <row r="118" spans="2:14" x14ac:dyDescent="0.25">
      <c r="B118">
        <v>106</v>
      </c>
      <c r="C118">
        <f t="shared" si="8"/>
        <v>2</v>
      </c>
      <c r="D118">
        <f t="shared" si="9"/>
        <v>3</v>
      </c>
      <c r="E118">
        <f t="shared" si="10"/>
        <v>0</v>
      </c>
      <c r="G118">
        <v>2</v>
      </c>
      <c r="H118">
        <v>3</v>
      </c>
      <c r="I118">
        <v>0</v>
      </c>
      <c r="J118">
        <f t="shared" si="11"/>
        <v>106</v>
      </c>
      <c r="K118" s="163" t="str">
        <f t="shared" si="6"/>
        <v/>
      </c>
      <c r="N118" t="str">
        <f t="shared" si="7"/>
        <v>010011000</v>
      </c>
    </row>
    <row r="119" spans="2:14" x14ac:dyDescent="0.25">
      <c r="B119">
        <v>107</v>
      </c>
      <c r="C119">
        <f t="shared" si="8"/>
        <v>2</v>
      </c>
      <c r="D119">
        <f t="shared" si="9"/>
        <v>3</v>
      </c>
      <c r="E119">
        <f t="shared" si="10"/>
        <v>1</v>
      </c>
      <c r="G119">
        <v>2</v>
      </c>
      <c r="H119">
        <v>3</v>
      </c>
      <c r="I119">
        <v>1</v>
      </c>
      <c r="J119">
        <f t="shared" si="11"/>
        <v>107</v>
      </c>
      <c r="K119" s="76" t="str">
        <f t="shared" si="6"/>
        <v/>
      </c>
      <c r="N119" t="str">
        <f t="shared" si="7"/>
        <v>010011001</v>
      </c>
    </row>
    <row r="120" spans="2:14" x14ac:dyDescent="0.25">
      <c r="B120">
        <v>108</v>
      </c>
      <c r="C120">
        <f t="shared" si="8"/>
        <v>2</v>
      </c>
      <c r="D120">
        <f t="shared" si="9"/>
        <v>3</v>
      </c>
      <c r="E120">
        <f t="shared" si="10"/>
        <v>2</v>
      </c>
      <c r="G120">
        <v>2</v>
      </c>
      <c r="H120">
        <v>3</v>
      </c>
      <c r="I120">
        <v>2</v>
      </c>
      <c r="J120">
        <f t="shared" si="11"/>
        <v>108</v>
      </c>
      <c r="K120" s="214" t="str">
        <f t="shared" si="6"/>
        <v/>
      </c>
      <c r="N120" t="str">
        <f t="shared" si="7"/>
        <v>010011010</v>
      </c>
    </row>
    <row r="121" spans="2:14" x14ac:dyDescent="0.25">
      <c r="B121">
        <v>109</v>
      </c>
      <c r="C121">
        <f t="shared" si="8"/>
        <v>2</v>
      </c>
      <c r="D121">
        <f t="shared" si="9"/>
        <v>3</v>
      </c>
      <c r="E121">
        <f t="shared" si="10"/>
        <v>3</v>
      </c>
      <c r="G121">
        <v>2</v>
      </c>
      <c r="H121">
        <v>3</v>
      </c>
      <c r="I121">
        <v>3</v>
      </c>
      <c r="J121">
        <f t="shared" si="11"/>
        <v>109</v>
      </c>
      <c r="K121" s="77" t="str">
        <f t="shared" si="6"/>
        <v/>
      </c>
      <c r="N121" t="str">
        <f t="shared" si="7"/>
        <v>010011011</v>
      </c>
    </row>
    <row r="122" spans="2:14" x14ac:dyDescent="0.25">
      <c r="B122">
        <v>110</v>
      </c>
      <c r="C122">
        <f t="shared" si="8"/>
        <v>2</v>
      </c>
      <c r="D122">
        <f t="shared" si="9"/>
        <v>3</v>
      </c>
      <c r="E122">
        <f t="shared" si="10"/>
        <v>4</v>
      </c>
      <c r="G122">
        <v>2</v>
      </c>
      <c r="H122">
        <v>3</v>
      </c>
      <c r="I122">
        <v>4</v>
      </c>
      <c r="J122">
        <f t="shared" si="11"/>
        <v>110</v>
      </c>
      <c r="K122" s="164" t="str">
        <f t="shared" si="6"/>
        <v/>
      </c>
      <c r="N122" t="str">
        <f t="shared" si="7"/>
        <v>010011100</v>
      </c>
    </row>
    <row r="123" spans="2:14" x14ac:dyDescent="0.25">
      <c r="B123">
        <v>111</v>
      </c>
      <c r="C123">
        <f t="shared" si="8"/>
        <v>2</v>
      </c>
      <c r="D123">
        <f t="shared" si="9"/>
        <v>3</v>
      </c>
      <c r="E123">
        <f t="shared" si="10"/>
        <v>5</v>
      </c>
      <c r="G123">
        <v>2</v>
      </c>
      <c r="H123">
        <v>3</v>
      </c>
      <c r="I123">
        <v>5</v>
      </c>
      <c r="J123">
        <f t="shared" si="11"/>
        <v>111</v>
      </c>
      <c r="K123" s="78" t="str">
        <f t="shared" si="6"/>
        <v/>
      </c>
      <c r="N123" t="str">
        <f t="shared" si="7"/>
        <v>010011101</v>
      </c>
    </row>
    <row r="124" spans="2:14" x14ac:dyDescent="0.25">
      <c r="B124">
        <v>112</v>
      </c>
      <c r="C124">
        <f t="shared" si="8"/>
        <v>2</v>
      </c>
      <c r="D124">
        <f t="shared" si="9"/>
        <v>4</v>
      </c>
      <c r="E124">
        <f t="shared" si="10"/>
        <v>0</v>
      </c>
      <c r="G124">
        <v>2</v>
      </c>
      <c r="H124">
        <v>4</v>
      </c>
      <c r="I124">
        <v>0</v>
      </c>
      <c r="J124">
        <f t="shared" si="11"/>
        <v>112</v>
      </c>
      <c r="K124" s="215" t="str">
        <f t="shared" si="6"/>
        <v/>
      </c>
      <c r="N124" t="str">
        <f t="shared" si="7"/>
        <v>010100000</v>
      </c>
    </row>
    <row r="125" spans="2:14" x14ac:dyDescent="0.25">
      <c r="B125">
        <v>113</v>
      </c>
      <c r="C125">
        <f t="shared" si="8"/>
        <v>2</v>
      </c>
      <c r="D125">
        <f t="shared" si="9"/>
        <v>4</v>
      </c>
      <c r="E125">
        <f t="shared" si="10"/>
        <v>1</v>
      </c>
      <c r="G125">
        <v>2</v>
      </c>
      <c r="H125">
        <v>4</v>
      </c>
      <c r="I125">
        <v>1</v>
      </c>
      <c r="J125">
        <f t="shared" si="11"/>
        <v>113</v>
      </c>
      <c r="K125" s="79" t="str">
        <f t="shared" si="6"/>
        <v/>
      </c>
      <c r="N125" t="str">
        <f t="shared" si="7"/>
        <v>010100001</v>
      </c>
    </row>
    <row r="126" spans="2:14" x14ac:dyDescent="0.25">
      <c r="B126">
        <v>114</v>
      </c>
      <c r="C126">
        <f t="shared" si="8"/>
        <v>2</v>
      </c>
      <c r="D126">
        <f t="shared" si="9"/>
        <v>4</v>
      </c>
      <c r="E126">
        <f t="shared" si="10"/>
        <v>2</v>
      </c>
      <c r="G126">
        <v>2</v>
      </c>
      <c r="H126">
        <v>4</v>
      </c>
      <c r="I126">
        <v>2</v>
      </c>
      <c r="J126">
        <f t="shared" si="11"/>
        <v>114</v>
      </c>
      <c r="K126" s="165" t="str">
        <f t="shared" si="6"/>
        <v/>
      </c>
      <c r="N126" t="str">
        <f t="shared" si="7"/>
        <v>010100010</v>
      </c>
    </row>
    <row r="127" spans="2:14" x14ac:dyDescent="0.25">
      <c r="B127">
        <v>115</v>
      </c>
      <c r="C127">
        <f t="shared" si="8"/>
        <v>2</v>
      </c>
      <c r="D127">
        <f t="shared" si="9"/>
        <v>4</v>
      </c>
      <c r="E127">
        <f t="shared" si="10"/>
        <v>3</v>
      </c>
      <c r="G127">
        <v>2</v>
      </c>
      <c r="H127">
        <v>4</v>
      </c>
      <c r="I127">
        <v>3</v>
      </c>
      <c r="J127">
        <f t="shared" si="11"/>
        <v>115</v>
      </c>
      <c r="K127" s="80" t="str">
        <f t="shared" si="6"/>
        <v/>
      </c>
      <c r="N127" t="str">
        <f t="shared" si="7"/>
        <v>010100011</v>
      </c>
    </row>
    <row r="128" spans="2:14" x14ac:dyDescent="0.25">
      <c r="B128">
        <v>116</v>
      </c>
      <c r="C128">
        <f t="shared" si="8"/>
        <v>2</v>
      </c>
      <c r="D128">
        <f t="shared" si="9"/>
        <v>4</v>
      </c>
      <c r="E128">
        <f t="shared" si="10"/>
        <v>4</v>
      </c>
      <c r="G128">
        <v>2</v>
      </c>
      <c r="H128">
        <v>4</v>
      </c>
      <c r="I128">
        <v>4</v>
      </c>
      <c r="J128">
        <f t="shared" si="11"/>
        <v>116</v>
      </c>
      <c r="K128" s="216" t="str">
        <f t="shared" si="6"/>
        <v/>
      </c>
      <c r="N128" t="str">
        <f t="shared" si="7"/>
        <v>010100100</v>
      </c>
    </row>
    <row r="129" spans="2:14" x14ac:dyDescent="0.25">
      <c r="B129">
        <v>117</v>
      </c>
      <c r="C129">
        <f t="shared" si="8"/>
        <v>2</v>
      </c>
      <c r="D129">
        <f t="shared" si="9"/>
        <v>4</v>
      </c>
      <c r="E129">
        <f t="shared" si="10"/>
        <v>5</v>
      </c>
      <c r="G129">
        <v>2</v>
      </c>
      <c r="H129">
        <v>4</v>
      </c>
      <c r="I129">
        <v>5</v>
      </c>
      <c r="J129">
        <f t="shared" si="11"/>
        <v>117</v>
      </c>
      <c r="K129" s="81" t="str">
        <f t="shared" si="6"/>
        <v/>
      </c>
      <c r="N129" t="str">
        <f t="shared" si="7"/>
        <v>010100101</v>
      </c>
    </row>
    <row r="130" spans="2:14" x14ac:dyDescent="0.25">
      <c r="B130">
        <v>118</v>
      </c>
      <c r="C130">
        <f t="shared" si="8"/>
        <v>2</v>
      </c>
      <c r="D130">
        <f t="shared" si="9"/>
        <v>5</v>
      </c>
      <c r="E130">
        <f t="shared" si="10"/>
        <v>0</v>
      </c>
      <c r="G130">
        <v>2</v>
      </c>
      <c r="H130">
        <v>5</v>
      </c>
      <c r="I130">
        <v>0</v>
      </c>
      <c r="J130">
        <f t="shared" si="11"/>
        <v>118</v>
      </c>
      <c r="K130" s="166" t="str">
        <f t="shared" si="6"/>
        <v/>
      </c>
      <c r="N130" t="str">
        <f t="shared" si="7"/>
        <v>010101000</v>
      </c>
    </row>
    <row r="131" spans="2:14" x14ac:dyDescent="0.25">
      <c r="B131">
        <v>119</v>
      </c>
      <c r="C131">
        <f t="shared" si="8"/>
        <v>2</v>
      </c>
      <c r="D131">
        <f t="shared" si="9"/>
        <v>5</v>
      </c>
      <c r="E131">
        <f t="shared" si="10"/>
        <v>1</v>
      </c>
      <c r="G131">
        <v>2</v>
      </c>
      <c r="H131">
        <v>5</v>
      </c>
      <c r="I131">
        <v>1</v>
      </c>
      <c r="J131">
        <f t="shared" si="11"/>
        <v>119</v>
      </c>
      <c r="K131" s="82" t="str">
        <f t="shared" si="6"/>
        <v/>
      </c>
      <c r="N131" t="str">
        <f t="shared" si="7"/>
        <v>010101001</v>
      </c>
    </row>
    <row r="132" spans="2:14" x14ac:dyDescent="0.25">
      <c r="B132">
        <v>120</v>
      </c>
      <c r="C132">
        <f t="shared" si="8"/>
        <v>2</v>
      </c>
      <c r="D132">
        <f t="shared" si="9"/>
        <v>5</v>
      </c>
      <c r="E132">
        <f t="shared" si="10"/>
        <v>2</v>
      </c>
      <c r="G132">
        <v>2</v>
      </c>
      <c r="H132">
        <v>5</v>
      </c>
      <c r="I132">
        <v>2</v>
      </c>
      <c r="J132">
        <f t="shared" si="11"/>
        <v>120</v>
      </c>
      <c r="K132" s="217" t="str">
        <f t="shared" si="6"/>
        <v/>
      </c>
      <c r="N132" t="str">
        <f t="shared" si="7"/>
        <v>010101010</v>
      </c>
    </row>
    <row r="133" spans="2:14" x14ac:dyDescent="0.25">
      <c r="B133">
        <v>121</v>
      </c>
      <c r="C133">
        <f t="shared" si="8"/>
        <v>2</v>
      </c>
      <c r="D133">
        <f t="shared" si="9"/>
        <v>5</v>
      </c>
      <c r="E133">
        <f t="shared" si="10"/>
        <v>3</v>
      </c>
      <c r="G133">
        <v>2</v>
      </c>
      <c r="H133">
        <v>5</v>
      </c>
      <c r="I133">
        <v>3</v>
      </c>
      <c r="J133">
        <f t="shared" si="11"/>
        <v>121</v>
      </c>
      <c r="K133" s="83" t="str">
        <f t="shared" si="6"/>
        <v/>
      </c>
      <c r="N133" t="str">
        <f t="shared" si="7"/>
        <v>010101011</v>
      </c>
    </row>
    <row r="134" spans="2:14" x14ac:dyDescent="0.25">
      <c r="B134">
        <v>122</v>
      </c>
      <c r="C134">
        <f t="shared" si="8"/>
        <v>2</v>
      </c>
      <c r="D134">
        <f t="shared" si="9"/>
        <v>5</v>
      </c>
      <c r="E134">
        <f t="shared" si="10"/>
        <v>4</v>
      </c>
      <c r="G134">
        <v>2</v>
      </c>
      <c r="H134">
        <v>5</v>
      </c>
      <c r="I134">
        <v>4</v>
      </c>
      <c r="J134">
        <f t="shared" si="11"/>
        <v>122</v>
      </c>
      <c r="K134" s="167" t="str">
        <f t="shared" si="6"/>
        <v/>
      </c>
      <c r="N134" t="str">
        <f t="shared" si="7"/>
        <v>010101100</v>
      </c>
    </row>
    <row r="135" spans="2:14" x14ac:dyDescent="0.25">
      <c r="B135">
        <v>123</v>
      </c>
      <c r="C135">
        <f t="shared" si="8"/>
        <v>2</v>
      </c>
      <c r="D135">
        <f t="shared" si="9"/>
        <v>5</v>
      </c>
      <c r="E135">
        <f t="shared" si="10"/>
        <v>5</v>
      </c>
      <c r="G135">
        <v>2</v>
      </c>
      <c r="H135">
        <v>5</v>
      </c>
      <c r="I135">
        <v>5</v>
      </c>
      <c r="J135">
        <f t="shared" si="11"/>
        <v>123</v>
      </c>
      <c r="K135" s="84" t="str">
        <f t="shared" si="6"/>
        <v/>
      </c>
      <c r="N135" t="str">
        <f t="shared" si="7"/>
        <v>010101101</v>
      </c>
    </row>
    <row r="136" spans="2:14" x14ac:dyDescent="0.25">
      <c r="B136">
        <v>124</v>
      </c>
      <c r="C136">
        <f t="shared" si="8"/>
        <v>3</v>
      </c>
      <c r="D136">
        <f t="shared" si="9"/>
        <v>0</v>
      </c>
      <c r="E136">
        <f t="shared" si="10"/>
        <v>0</v>
      </c>
      <c r="G136">
        <v>3</v>
      </c>
      <c r="H136">
        <v>0</v>
      </c>
      <c r="I136">
        <v>0</v>
      </c>
      <c r="J136">
        <f t="shared" ref="J136:J184" si="12">16+36*G136+6*H136+I136</f>
        <v>124</v>
      </c>
      <c r="K136" s="141" t="str">
        <f t="shared" si="6"/>
        <v/>
      </c>
      <c r="N136" t="str">
        <f t="shared" si="7"/>
        <v>011000000</v>
      </c>
    </row>
    <row r="137" spans="2:14" x14ac:dyDescent="0.25">
      <c r="B137">
        <v>125</v>
      </c>
      <c r="C137">
        <f t="shared" si="8"/>
        <v>3</v>
      </c>
      <c r="D137">
        <f t="shared" si="9"/>
        <v>0</v>
      </c>
      <c r="E137">
        <f t="shared" si="10"/>
        <v>1</v>
      </c>
      <c r="G137">
        <v>3</v>
      </c>
      <c r="H137">
        <v>0</v>
      </c>
      <c r="I137">
        <v>1</v>
      </c>
      <c r="J137">
        <f t="shared" si="12"/>
        <v>125</v>
      </c>
      <c r="K137" s="85" t="str">
        <f t="shared" si="6"/>
        <v/>
      </c>
      <c r="N137" t="str">
        <f t="shared" si="7"/>
        <v>011000001</v>
      </c>
    </row>
    <row r="138" spans="2:14" x14ac:dyDescent="0.25">
      <c r="B138">
        <v>126</v>
      </c>
      <c r="C138">
        <f t="shared" si="8"/>
        <v>3</v>
      </c>
      <c r="D138">
        <f t="shared" si="9"/>
        <v>0</v>
      </c>
      <c r="E138">
        <f t="shared" si="10"/>
        <v>2</v>
      </c>
      <c r="G138">
        <v>3</v>
      </c>
      <c r="H138">
        <v>0</v>
      </c>
      <c r="I138">
        <v>2</v>
      </c>
      <c r="J138">
        <f t="shared" si="12"/>
        <v>126</v>
      </c>
      <c r="K138" s="168" t="str">
        <f t="shared" si="6"/>
        <v/>
      </c>
      <c r="N138" t="str">
        <f t="shared" si="7"/>
        <v>011000010</v>
      </c>
    </row>
    <row r="139" spans="2:14" x14ac:dyDescent="0.25">
      <c r="B139">
        <v>127</v>
      </c>
      <c r="C139">
        <f t="shared" si="8"/>
        <v>3</v>
      </c>
      <c r="D139">
        <f t="shared" si="9"/>
        <v>0</v>
      </c>
      <c r="E139">
        <f t="shared" si="10"/>
        <v>3</v>
      </c>
      <c r="G139">
        <v>3</v>
      </c>
      <c r="H139">
        <v>0</v>
      </c>
      <c r="I139">
        <v>3</v>
      </c>
      <c r="J139">
        <f t="shared" si="12"/>
        <v>127</v>
      </c>
      <c r="K139" s="86" t="str">
        <f t="shared" si="6"/>
        <v/>
      </c>
      <c r="N139" t="str">
        <f t="shared" si="7"/>
        <v>011000011</v>
      </c>
    </row>
    <row r="140" spans="2:14" x14ac:dyDescent="0.25">
      <c r="B140">
        <v>128</v>
      </c>
      <c r="C140">
        <f t="shared" si="8"/>
        <v>3</v>
      </c>
      <c r="D140">
        <f t="shared" si="9"/>
        <v>0</v>
      </c>
      <c r="E140">
        <f t="shared" si="10"/>
        <v>4</v>
      </c>
      <c r="G140">
        <v>3</v>
      </c>
      <c r="H140">
        <v>0</v>
      </c>
      <c r="I140">
        <v>4</v>
      </c>
      <c r="J140">
        <f t="shared" si="12"/>
        <v>128</v>
      </c>
      <c r="K140" s="218" t="str">
        <f t="shared" si="6"/>
        <v/>
      </c>
      <c r="N140" t="str">
        <f t="shared" si="7"/>
        <v>011000100</v>
      </c>
    </row>
    <row r="141" spans="2:14" x14ac:dyDescent="0.25">
      <c r="B141">
        <v>129</v>
      </c>
      <c r="C141">
        <f t="shared" si="8"/>
        <v>3</v>
      </c>
      <c r="D141">
        <f t="shared" si="9"/>
        <v>0</v>
      </c>
      <c r="E141">
        <f t="shared" si="10"/>
        <v>5</v>
      </c>
      <c r="G141">
        <v>3</v>
      </c>
      <c r="H141">
        <v>0</v>
      </c>
      <c r="I141">
        <v>5</v>
      </c>
      <c r="J141">
        <f t="shared" si="12"/>
        <v>129</v>
      </c>
      <c r="K141" s="87" t="str">
        <f t="shared" ref="K141:K204" si="13">myRGB(G141*51,H141*51,I141*51)</f>
        <v/>
      </c>
      <c r="N141" t="str">
        <f t="shared" ref="N141:N204" si="14">DEC2BIN(G141,3)&amp;DEC2BIN(H141,3)&amp;DEC2BIN(I141,3)</f>
        <v>011000101</v>
      </c>
    </row>
    <row r="142" spans="2:14" x14ac:dyDescent="0.25">
      <c r="B142">
        <v>130</v>
      </c>
      <c r="C142">
        <f t="shared" si="8"/>
        <v>3</v>
      </c>
      <c r="D142">
        <f t="shared" si="9"/>
        <v>1</v>
      </c>
      <c r="E142">
        <f t="shared" si="10"/>
        <v>0</v>
      </c>
      <c r="G142">
        <v>3</v>
      </c>
      <c r="H142">
        <v>1</v>
      </c>
      <c r="I142">
        <v>0</v>
      </c>
      <c r="J142">
        <f t="shared" si="12"/>
        <v>130</v>
      </c>
      <c r="K142" s="169" t="str">
        <f t="shared" si="13"/>
        <v/>
      </c>
      <c r="N142" t="str">
        <f t="shared" si="14"/>
        <v>011001000</v>
      </c>
    </row>
    <row r="143" spans="2:14" x14ac:dyDescent="0.25">
      <c r="B143">
        <v>131</v>
      </c>
      <c r="C143">
        <f t="shared" si="8"/>
        <v>3</v>
      </c>
      <c r="D143">
        <f t="shared" si="9"/>
        <v>1</v>
      </c>
      <c r="E143">
        <f t="shared" si="10"/>
        <v>1</v>
      </c>
      <c r="G143">
        <v>3</v>
      </c>
      <c r="H143">
        <v>1</v>
      </c>
      <c r="I143">
        <v>1</v>
      </c>
      <c r="J143">
        <f t="shared" si="12"/>
        <v>131</v>
      </c>
      <c r="K143" s="88" t="str">
        <f t="shared" si="13"/>
        <v/>
      </c>
      <c r="N143" t="str">
        <f t="shared" si="14"/>
        <v>011001001</v>
      </c>
    </row>
    <row r="144" spans="2:14" x14ac:dyDescent="0.25">
      <c r="B144">
        <v>132</v>
      </c>
      <c r="C144">
        <f t="shared" si="8"/>
        <v>3</v>
      </c>
      <c r="D144">
        <f t="shared" si="9"/>
        <v>1</v>
      </c>
      <c r="E144">
        <f t="shared" si="10"/>
        <v>2</v>
      </c>
      <c r="G144">
        <v>3</v>
      </c>
      <c r="H144">
        <v>1</v>
      </c>
      <c r="I144">
        <v>2</v>
      </c>
      <c r="J144">
        <f t="shared" si="12"/>
        <v>132</v>
      </c>
      <c r="K144" s="219" t="str">
        <f t="shared" si="13"/>
        <v/>
      </c>
      <c r="N144" t="str">
        <f t="shared" si="14"/>
        <v>011001010</v>
      </c>
    </row>
    <row r="145" spans="2:14" x14ac:dyDescent="0.25">
      <c r="B145">
        <v>133</v>
      </c>
      <c r="C145">
        <f t="shared" si="8"/>
        <v>3</v>
      </c>
      <c r="D145">
        <f t="shared" si="9"/>
        <v>1</v>
      </c>
      <c r="E145">
        <f t="shared" si="10"/>
        <v>3</v>
      </c>
      <c r="G145">
        <v>3</v>
      </c>
      <c r="H145">
        <v>1</v>
      </c>
      <c r="I145">
        <v>3</v>
      </c>
      <c r="J145">
        <f t="shared" si="12"/>
        <v>133</v>
      </c>
      <c r="K145" s="89" t="str">
        <f t="shared" si="13"/>
        <v/>
      </c>
      <c r="N145" t="str">
        <f t="shared" si="14"/>
        <v>011001011</v>
      </c>
    </row>
    <row r="146" spans="2:14" x14ac:dyDescent="0.25">
      <c r="B146">
        <v>134</v>
      </c>
      <c r="C146">
        <f t="shared" si="8"/>
        <v>3</v>
      </c>
      <c r="D146">
        <f t="shared" si="9"/>
        <v>1</v>
      </c>
      <c r="E146">
        <f t="shared" si="10"/>
        <v>4</v>
      </c>
      <c r="G146">
        <v>3</v>
      </c>
      <c r="H146">
        <v>1</v>
      </c>
      <c r="I146">
        <v>4</v>
      </c>
      <c r="J146">
        <f t="shared" si="12"/>
        <v>134</v>
      </c>
      <c r="K146" s="170" t="str">
        <f t="shared" si="13"/>
        <v/>
      </c>
      <c r="N146" t="str">
        <f t="shared" si="14"/>
        <v>011001100</v>
      </c>
    </row>
    <row r="147" spans="2:14" x14ac:dyDescent="0.25">
      <c r="B147">
        <v>135</v>
      </c>
      <c r="C147">
        <f t="shared" si="8"/>
        <v>3</v>
      </c>
      <c r="D147">
        <f t="shared" si="9"/>
        <v>1</v>
      </c>
      <c r="E147">
        <f t="shared" si="10"/>
        <v>5</v>
      </c>
      <c r="G147">
        <v>3</v>
      </c>
      <c r="H147">
        <v>1</v>
      </c>
      <c r="I147">
        <v>5</v>
      </c>
      <c r="J147">
        <f t="shared" si="12"/>
        <v>135</v>
      </c>
      <c r="K147" s="90" t="str">
        <f t="shared" si="13"/>
        <v/>
      </c>
      <c r="N147" t="str">
        <f t="shared" si="14"/>
        <v>011001101</v>
      </c>
    </row>
    <row r="148" spans="2:14" x14ac:dyDescent="0.25">
      <c r="B148">
        <v>136</v>
      </c>
      <c r="C148">
        <f t="shared" si="8"/>
        <v>3</v>
      </c>
      <c r="D148">
        <f t="shared" si="9"/>
        <v>2</v>
      </c>
      <c r="E148">
        <f t="shared" si="10"/>
        <v>0</v>
      </c>
      <c r="G148">
        <v>3</v>
      </c>
      <c r="H148">
        <v>2</v>
      </c>
      <c r="I148">
        <v>0</v>
      </c>
      <c r="J148">
        <f t="shared" si="12"/>
        <v>136</v>
      </c>
      <c r="K148" s="220" t="str">
        <f t="shared" si="13"/>
        <v/>
      </c>
      <c r="N148" t="str">
        <f t="shared" si="14"/>
        <v>011010000</v>
      </c>
    </row>
    <row r="149" spans="2:14" x14ac:dyDescent="0.25">
      <c r="B149">
        <v>137</v>
      </c>
      <c r="C149">
        <f t="shared" si="8"/>
        <v>3</v>
      </c>
      <c r="D149">
        <f t="shared" si="9"/>
        <v>2</v>
      </c>
      <c r="E149">
        <f t="shared" si="10"/>
        <v>1</v>
      </c>
      <c r="G149">
        <v>3</v>
      </c>
      <c r="H149">
        <v>2</v>
      </c>
      <c r="I149">
        <v>1</v>
      </c>
      <c r="J149">
        <f t="shared" si="12"/>
        <v>137</v>
      </c>
      <c r="K149" s="91" t="str">
        <f t="shared" si="13"/>
        <v/>
      </c>
      <c r="N149" t="str">
        <f t="shared" si="14"/>
        <v>011010001</v>
      </c>
    </row>
    <row r="150" spans="2:14" x14ac:dyDescent="0.25">
      <c r="B150">
        <v>138</v>
      </c>
      <c r="C150">
        <f t="shared" si="8"/>
        <v>3</v>
      </c>
      <c r="D150">
        <f t="shared" si="9"/>
        <v>2</v>
      </c>
      <c r="E150">
        <f t="shared" si="10"/>
        <v>2</v>
      </c>
      <c r="G150">
        <v>3</v>
      </c>
      <c r="H150">
        <v>2</v>
      </c>
      <c r="I150">
        <v>2</v>
      </c>
      <c r="J150">
        <f t="shared" si="12"/>
        <v>138</v>
      </c>
      <c r="K150" s="171" t="str">
        <f t="shared" si="13"/>
        <v/>
      </c>
      <c r="N150" t="str">
        <f t="shared" si="14"/>
        <v>011010010</v>
      </c>
    </row>
    <row r="151" spans="2:14" x14ac:dyDescent="0.25">
      <c r="B151">
        <v>139</v>
      </c>
      <c r="C151">
        <f t="shared" si="8"/>
        <v>3</v>
      </c>
      <c r="D151">
        <f t="shared" si="9"/>
        <v>2</v>
      </c>
      <c r="E151">
        <f t="shared" si="10"/>
        <v>3</v>
      </c>
      <c r="G151">
        <v>3</v>
      </c>
      <c r="H151">
        <v>2</v>
      </c>
      <c r="I151">
        <v>3</v>
      </c>
      <c r="J151">
        <f t="shared" si="12"/>
        <v>139</v>
      </c>
      <c r="K151" s="92" t="str">
        <f t="shared" si="13"/>
        <v/>
      </c>
      <c r="N151" t="str">
        <f t="shared" si="14"/>
        <v>011010011</v>
      </c>
    </row>
    <row r="152" spans="2:14" x14ac:dyDescent="0.25">
      <c r="B152">
        <v>140</v>
      </c>
      <c r="C152">
        <f t="shared" si="8"/>
        <v>3</v>
      </c>
      <c r="D152">
        <f t="shared" si="9"/>
        <v>2</v>
      </c>
      <c r="E152">
        <f t="shared" si="10"/>
        <v>4</v>
      </c>
      <c r="G152">
        <v>3</v>
      </c>
      <c r="H152">
        <v>2</v>
      </c>
      <c r="I152">
        <v>4</v>
      </c>
      <c r="J152">
        <f t="shared" si="12"/>
        <v>140</v>
      </c>
      <c r="K152" s="221" t="str">
        <f t="shared" si="13"/>
        <v/>
      </c>
      <c r="N152" t="str">
        <f t="shared" si="14"/>
        <v>011010100</v>
      </c>
    </row>
    <row r="153" spans="2:14" x14ac:dyDescent="0.25">
      <c r="B153">
        <v>141</v>
      </c>
      <c r="C153">
        <f t="shared" si="8"/>
        <v>3</v>
      </c>
      <c r="D153">
        <f t="shared" si="9"/>
        <v>2</v>
      </c>
      <c r="E153">
        <f t="shared" si="10"/>
        <v>5</v>
      </c>
      <c r="G153">
        <v>3</v>
      </c>
      <c r="H153">
        <v>2</v>
      </c>
      <c r="I153">
        <v>5</v>
      </c>
      <c r="J153">
        <f t="shared" si="12"/>
        <v>141</v>
      </c>
      <c r="K153" s="93" t="str">
        <f t="shared" si="13"/>
        <v/>
      </c>
      <c r="N153" t="str">
        <f t="shared" si="14"/>
        <v>011010101</v>
      </c>
    </row>
    <row r="154" spans="2:14" x14ac:dyDescent="0.25">
      <c r="B154">
        <v>142</v>
      </c>
      <c r="C154">
        <f t="shared" si="8"/>
        <v>3</v>
      </c>
      <c r="D154">
        <f t="shared" si="9"/>
        <v>3</v>
      </c>
      <c r="E154">
        <f t="shared" si="10"/>
        <v>0</v>
      </c>
      <c r="G154">
        <v>3</v>
      </c>
      <c r="H154">
        <v>3</v>
      </c>
      <c r="I154">
        <v>0</v>
      </c>
      <c r="J154">
        <f t="shared" si="12"/>
        <v>142</v>
      </c>
      <c r="K154" s="140" t="str">
        <f t="shared" si="13"/>
        <v/>
      </c>
      <c r="N154" t="str">
        <f t="shared" si="14"/>
        <v>011011000</v>
      </c>
    </row>
    <row r="155" spans="2:14" x14ac:dyDescent="0.25">
      <c r="B155">
        <v>143</v>
      </c>
      <c r="C155">
        <f t="shared" si="8"/>
        <v>3</v>
      </c>
      <c r="D155">
        <f t="shared" si="9"/>
        <v>3</v>
      </c>
      <c r="E155">
        <f t="shared" si="10"/>
        <v>1</v>
      </c>
      <c r="G155">
        <v>3</v>
      </c>
      <c r="H155">
        <v>3</v>
      </c>
      <c r="I155">
        <v>1</v>
      </c>
      <c r="J155">
        <f t="shared" si="12"/>
        <v>143</v>
      </c>
      <c r="K155" s="94" t="str">
        <f t="shared" si="13"/>
        <v/>
      </c>
      <c r="N155" t="str">
        <f t="shared" si="14"/>
        <v>011011001</v>
      </c>
    </row>
    <row r="156" spans="2:14" x14ac:dyDescent="0.25">
      <c r="B156">
        <v>144</v>
      </c>
      <c r="C156">
        <f t="shared" si="8"/>
        <v>3</v>
      </c>
      <c r="D156">
        <f t="shared" si="9"/>
        <v>3</v>
      </c>
      <c r="E156">
        <f t="shared" si="10"/>
        <v>2</v>
      </c>
      <c r="G156">
        <v>3</v>
      </c>
      <c r="H156">
        <v>3</v>
      </c>
      <c r="I156">
        <v>2</v>
      </c>
      <c r="J156">
        <f t="shared" si="12"/>
        <v>144</v>
      </c>
      <c r="K156" s="222" t="str">
        <f t="shared" si="13"/>
        <v/>
      </c>
      <c r="N156" t="str">
        <f t="shared" si="14"/>
        <v>011011010</v>
      </c>
    </row>
    <row r="157" spans="2:14" x14ac:dyDescent="0.25">
      <c r="B157">
        <v>145</v>
      </c>
      <c r="C157">
        <f t="shared" ref="C157:C220" si="15">INT(((B157-16)/36))</f>
        <v>3</v>
      </c>
      <c r="D157">
        <f t="shared" ref="D157:D220" si="16">INT(MOD(B157-16,36)/6)</f>
        <v>3</v>
      </c>
      <c r="E157">
        <f t="shared" ref="E157:E220" si="17">INT(MOD(B157-16,6))</f>
        <v>3</v>
      </c>
      <c r="G157">
        <v>3</v>
      </c>
      <c r="H157">
        <v>3</v>
      </c>
      <c r="I157">
        <v>3</v>
      </c>
      <c r="J157">
        <f t="shared" si="12"/>
        <v>145</v>
      </c>
      <c r="K157" s="95" t="str">
        <f t="shared" si="13"/>
        <v/>
      </c>
      <c r="N157" t="str">
        <f t="shared" si="14"/>
        <v>011011011</v>
      </c>
    </row>
    <row r="158" spans="2:14" x14ac:dyDescent="0.25">
      <c r="B158">
        <v>146</v>
      </c>
      <c r="C158">
        <f t="shared" si="15"/>
        <v>3</v>
      </c>
      <c r="D158">
        <f t="shared" si="16"/>
        <v>3</v>
      </c>
      <c r="E158">
        <f t="shared" si="17"/>
        <v>4</v>
      </c>
      <c r="G158">
        <v>3</v>
      </c>
      <c r="H158">
        <v>3</v>
      </c>
      <c r="I158">
        <v>4</v>
      </c>
      <c r="J158">
        <f t="shared" si="12"/>
        <v>146</v>
      </c>
      <c r="K158" s="172" t="str">
        <f t="shared" si="13"/>
        <v/>
      </c>
      <c r="N158" t="str">
        <f t="shared" si="14"/>
        <v>011011100</v>
      </c>
    </row>
    <row r="159" spans="2:14" x14ac:dyDescent="0.25">
      <c r="B159">
        <v>147</v>
      </c>
      <c r="C159">
        <f t="shared" si="15"/>
        <v>3</v>
      </c>
      <c r="D159">
        <f t="shared" si="16"/>
        <v>3</v>
      </c>
      <c r="E159">
        <f t="shared" si="17"/>
        <v>5</v>
      </c>
      <c r="G159">
        <v>3</v>
      </c>
      <c r="H159">
        <v>3</v>
      </c>
      <c r="I159">
        <v>5</v>
      </c>
      <c r="J159">
        <f t="shared" si="12"/>
        <v>147</v>
      </c>
      <c r="K159" s="96" t="str">
        <f t="shared" si="13"/>
        <v/>
      </c>
      <c r="N159" t="str">
        <f t="shared" si="14"/>
        <v>011011101</v>
      </c>
    </row>
    <row r="160" spans="2:14" x14ac:dyDescent="0.25">
      <c r="B160">
        <v>148</v>
      </c>
      <c r="C160">
        <f t="shared" si="15"/>
        <v>3</v>
      </c>
      <c r="D160">
        <f t="shared" si="16"/>
        <v>4</v>
      </c>
      <c r="E160">
        <f t="shared" si="17"/>
        <v>0</v>
      </c>
      <c r="G160">
        <v>3</v>
      </c>
      <c r="H160">
        <v>4</v>
      </c>
      <c r="I160">
        <v>0</v>
      </c>
      <c r="J160">
        <f t="shared" si="12"/>
        <v>148</v>
      </c>
      <c r="K160" s="223" t="str">
        <f t="shared" si="13"/>
        <v/>
      </c>
      <c r="N160" t="str">
        <f t="shared" si="14"/>
        <v>011100000</v>
      </c>
    </row>
    <row r="161" spans="2:14" x14ac:dyDescent="0.25">
      <c r="B161">
        <v>149</v>
      </c>
      <c r="C161">
        <f t="shared" si="15"/>
        <v>3</v>
      </c>
      <c r="D161">
        <f t="shared" si="16"/>
        <v>4</v>
      </c>
      <c r="E161">
        <f t="shared" si="17"/>
        <v>1</v>
      </c>
      <c r="G161">
        <v>3</v>
      </c>
      <c r="H161">
        <v>4</v>
      </c>
      <c r="I161">
        <v>1</v>
      </c>
      <c r="J161">
        <f t="shared" si="12"/>
        <v>149</v>
      </c>
      <c r="K161" s="97" t="str">
        <f t="shared" si="13"/>
        <v/>
      </c>
      <c r="N161" t="str">
        <f t="shared" si="14"/>
        <v>011100001</v>
      </c>
    </row>
    <row r="162" spans="2:14" x14ac:dyDescent="0.25">
      <c r="B162">
        <v>150</v>
      </c>
      <c r="C162">
        <f t="shared" si="15"/>
        <v>3</v>
      </c>
      <c r="D162">
        <f t="shared" si="16"/>
        <v>4</v>
      </c>
      <c r="E162">
        <f t="shared" si="17"/>
        <v>2</v>
      </c>
      <c r="G162">
        <v>3</v>
      </c>
      <c r="H162">
        <v>4</v>
      </c>
      <c r="I162">
        <v>2</v>
      </c>
      <c r="J162">
        <f t="shared" si="12"/>
        <v>150</v>
      </c>
      <c r="K162" s="173" t="str">
        <f t="shared" si="13"/>
        <v/>
      </c>
      <c r="N162" t="str">
        <f t="shared" si="14"/>
        <v>011100010</v>
      </c>
    </row>
    <row r="163" spans="2:14" x14ac:dyDescent="0.25">
      <c r="B163">
        <v>151</v>
      </c>
      <c r="C163">
        <f t="shared" si="15"/>
        <v>3</v>
      </c>
      <c r="D163">
        <f t="shared" si="16"/>
        <v>4</v>
      </c>
      <c r="E163">
        <f t="shared" si="17"/>
        <v>3</v>
      </c>
      <c r="G163">
        <v>3</v>
      </c>
      <c r="H163">
        <v>4</v>
      </c>
      <c r="I163">
        <v>3</v>
      </c>
      <c r="J163">
        <f t="shared" si="12"/>
        <v>151</v>
      </c>
      <c r="K163" s="98" t="str">
        <f t="shared" si="13"/>
        <v/>
      </c>
      <c r="N163" t="str">
        <f t="shared" si="14"/>
        <v>011100011</v>
      </c>
    </row>
    <row r="164" spans="2:14" x14ac:dyDescent="0.25">
      <c r="B164">
        <v>152</v>
      </c>
      <c r="C164">
        <f t="shared" si="15"/>
        <v>3</v>
      </c>
      <c r="D164">
        <f t="shared" si="16"/>
        <v>4</v>
      </c>
      <c r="E164">
        <f t="shared" si="17"/>
        <v>4</v>
      </c>
      <c r="G164">
        <v>3</v>
      </c>
      <c r="H164">
        <v>4</v>
      </c>
      <c r="I164">
        <v>4</v>
      </c>
      <c r="J164">
        <f t="shared" si="12"/>
        <v>152</v>
      </c>
      <c r="K164" s="224" t="str">
        <f t="shared" si="13"/>
        <v/>
      </c>
      <c r="N164" t="str">
        <f t="shared" si="14"/>
        <v>011100100</v>
      </c>
    </row>
    <row r="165" spans="2:14" x14ac:dyDescent="0.25">
      <c r="B165">
        <v>153</v>
      </c>
      <c r="C165">
        <f t="shared" si="15"/>
        <v>3</v>
      </c>
      <c r="D165">
        <f t="shared" si="16"/>
        <v>4</v>
      </c>
      <c r="E165">
        <f t="shared" si="17"/>
        <v>5</v>
      </c>
      <c r="G165">
        <v>3</v>
      </c>
      <c r="H165">
        <v>4</v>
      </c>
      <c r="I165">
        <v>5</v>
      </c>
      <c r="J165">
        <f t="shared" si="12"/>
        <v>153</v>
      </c>
      <c r="K165" s="99" t="str">
        <f t="shared" si="13"/>
        <v/>
      </c>
      <c r="N165" t="str">
        <f t="shared" si="14"/>
        <v>011100101</v>
      </c>
    </row>
    <row r="166" spans="2:14" x14ac:dyDescent="0.25">
      <c r="B166">
        <v>154</v>
      </c>
      <c r="C166">
        <f t="shared" si="15"/>
        <v>3</v>
      </c>
      <c r="D166">
        <f t="shared" si="16"/>
        <v>5</v>
      </c>
      <c r="E166">
        <f t="shared" si="17"/>
        <v>0</v>
      </c>
      <c r="G166">
        <v>3</v>
      </c>
      <c r="H166">
        <v>5</v>
      </c>
      <c r="I166">
        <v>0</v>
      </c>
      <c r="J166">
        <f t="shared" si="12"/>
        <v>154</v>
      </c>
      <c r="K166" s="174" t="str">
        <f t="shared" si="13"/>
        <v/>
      </c>
      <c r="N166" t="str">
        <f t="shared" si="14"/>
        <v>011101000</v>
      </c>
    </row>
    <row r="167" spans="2:14" x14ac:dyDescent="0.25">
      <c r="B167">
        <v>155</v>
      </c>
      <c r="C167">
        <f t="shared" si="15"/>
        <v>3</v>
      </c>
      <c r="D167">
        <f t="shared" si="16"/>
        <v>5</v>
      </c>
      <c r="E167">
        <f t="shared" si="17"/>
        <v>1</v>
      </c>
      <c r="G167">
        <v>3</v>
      </c>
      <c r="H167">
        <v>5</v>
      </c>
      <c r="I167">
        <v>1</v>
      </c>
      <c r="J167">
        <f t="shared" si="12"/>
        <v>155</v>
      </c>
      <c r="K167" s="100" t="str">
        <f t="shared" si="13"/>
        <v/>
      </c>
      <c r="N167" t="str">
        <f t="shared" si="14"/>
        <v>011101001</v>
      </c>
    </row>
    <row r="168" spans="2:14" x14ac:dyDescent="0.25">
      <c r="B168">
        <v>156</v>
      </c>
      <c r="C168">
        <f t="shared" si="15"/>
        <v>3</v>
      </c>
      <c r="D168">
        <f t="shared" si="16"/>
        <v>5</v>
      </c>
      <c r="E168">
        <f t="shared" si="17"/>
        <v>2</v>
      </c>
      <c r="G168">
        <v>3</v>
      </c>
      <c r="H168">
        <v>5</v>
      </c>
      <c r="I168">
        <v>2</v>
      </c>
      <c r="J168">
        <f t="shared" si="12"/>
        <v>156</v>
      </c>
      <c r="K168" s="225" t="str">
        <f t="shared" si="13"/>
        <v/>
      </c>
      <c r="N168" t="str">
        <f t="shared" si="14"/>
        <v>011101010</v>
      </c>
    </row>
    <row r="169" spans="2:14" x14ac:dyDescent="0.25">
      <c r="B169">
        <v>157</v>
      </c>
      <c r="C169">
        <f t="shared" si="15"/>
        <v>3</v>
      </c>
      <c r="D169">
        <f t="shared" si="16"/>
        <v>5</v>
      </c>
      <c r="E169">
        <f t="shared" si="17"/>
        <v>3</v>
      </c>
      <c r="G169">
        <v>3</v>
      </c>
      <c r="H169">
        <v>5</v>
      </c>
      <c r="I169">
        <v>3</v>
      </c>
      <c r="J169">
        <f t="shared" si="12"/>
        <v>157</v>
      </c>
      <c r="K169" s="101" t="str">
        <f t="shared" si="13"/>
        <v/>
      </c>
      <c r="N169" t="str">
        <f t="shared" si="14"/>
        <v>011101011</v>
      </c>
    </row>
    <row r="170" spans="2:14" x14ac:dyDescent="0.25">
      <c r="B170">
        <v>158</v>
      </c>
      <c r="C170">
        <f t="shared" si="15"/>
        <v>3</v>
      </c>
      <c r="D170">
        <f t="shared" si="16"/>
        <v>5</v>
      </c>
      <c r="E170">
        <f t="shared" si="17"/>
        <v>4</v>
      </c>
      <c r="G170">
        <v>3</v>
      </c>
      <c r="H170">
        <v>5</v>
      </c>
      <c r="I170">
        <v>4</v>
      </c>
      <c r="J170">
        <f t="shared" si="12"/>
        <v>158</v>
      </c>
      <c r="K170" s="175" t="str">
        <f t="shared" si="13"/>
        <v/>
      </c>
      <c r="N170" t="str">
        <f t="shared" si="14"/>
        <v>011101100</v>
      </c>
    </row>
    <row r="171" spans="2:14" x14ac:dyDescent="0.25">
      <c r="B171">
        <v>159</v>
      </c>
      <c r="C171">
        <f t="shared" si="15"/>
        <v>3</v>
      </c>
      <c r="D171">
        <f t="shared" si="16"/>
        <v>5</v>
      </c>
      <c r="E171">
        <f t="shared" si="17"/>
        <v>5</v>
      </c>
      <c r="G171">
        <v>3</v>
      </c>
      <c r="H171">
        <v>5</v>
      </c>
      <c r="I171">
        <v>5</v>
      </c>
      <c r="J171">
        <f t="shared" si="12"/>
        <v>159</v>
      </c>
      <c r="K171" s="102" t="str">
        <f t="shared" si="13"/>
        <v/>
      </c>
      <c r="N171" t="str">
        <f t="shared" si="14"/>
        <v>011101101</v>
      </c>
    </row>
    <row r="172" spans="2:14" x14ac:dyDescent="0.25">
      <c r="B172">
        <v>160</v>
      </c>
      <c r="C172">
        <f t="shared" si="15"/>
        <v>4</v>
      </c>
      <c r="D172">
        <f t="shared" si="16"/>
        <v>0</v>
      </c>
      <c r="E172">
        <f t="shared" si="17"/>
        <v>0</v>
      </c>
      <c r="G172">
        <v>4</v>
      </c>
      <c r="H172">
        <v>0</v>
      </c>
      <c r="I172">
        <v>0</v>
      </c>
      <c r="J172">
        <f t="shared" si="12"/>
        <v>160</v>
      </c>
      <c r="K172" s="226" t="str">
        <f t="shared" si="13"/>
        <v/>
      </c>
      <c r="N172" t="str">
        <f t="shared" si="14"/>
        <v>100000000</v>
      </c>
    </row>
    <row r="173" spans="2:14" x14ac:dyDescent="0.25">
      <c r="B173">
        <v>161</v>
      </c>
      <c r="C173">
        <f t="shared" si="15"/>
        <v>4</v>
      </c>
      <c r="D173">
        <f t="shared" si="16"/>
        <v>0</v>
      </c>
      <c r="E173">
        <f t="shared" si="17"/>
        <v>1</v>
      </c>
      <c r="G173">
        <v>4</v>
      </c>
      <c r="H173">
        <v>0</v>
      </c>
      <c r="I173">
        <v>1</v>
      </c>
      <c r="J173">
        <f t="shared" si="12"/>
        <v>161</v>
      </c>
      <c r="K173" s="103" t="str">
        <f t="shared" si="13"/>
        <v/>
      </c>
      <c r="N173" t="str">
        <f t="shared" si="14"/>
        <v>100000001</v>
      </c>
    </row>
    <row r="174" spans="2:14" x14ac:dyDescent="0.25">
      <c r="B174">
        <v>162</v>
      </c>
      <c r="C174">
        <f t="shared" si="15"/>
        <v>4</v>
      </c>
      <c r="D174">
        <f t="shared" si="16"/>
        <v>0</v>
      </c>
      <c r="E174">
        <f t="shared" si="17"/>
        <v>2</v>
      </c>
      <c r="G174">
        <v>4</v>
      </c>
      <c r="H174">
        <v>0</v>
      </c>
      <c r="I174">
        <v>2</v>
      </c>
      <c r="J174">
        <f t="shared" si="12"/>
        <v>162</v>
      </c>
      <c r="K174" s="176" t="str">
        <f t="shared" si="13"/>
        <v/>
      </c>
      <c r="N174" t="str">
        <f t="shared" si="14"/>
        <v>100000010</v>
      </c>
    </row>
    <row r="175" spans="2:14" x14ac:dyDescent="0.25">
      <c r="B175">
        <v>163</v>
      </c>
      <c r="C175">
        <f t="shared" si="15"/>
        <v>4</v>
      </c>
      <c r="D175">
        <f t="shared" si="16"/>
        <v>0</v>
      </c>
      <c r="E175">
        <f t="shared" si="17"/>
        <v>3</v>
      </c>
      <c r="G175">
        <v>4</v>
      </c>
      <c r="H175">
        <v>0</v>
      </c>
      <c r="I175">
        <v>3</v>
      </c>
      <c r="J175">
        <f t="shared" si="12"/>
        <v>163</v>
      </c>
      <c r="K175" s="104" t="str">
        <f t="shared" si="13"/>
        <v/>
      </c>
      <c r="N175" t="str">
        <f t="shared" si="14"/>
        <v>100000011</v>
      </c>
    </row>
    <row r="176" spans="2:14" x14ac:dyDescent="0.25">
      <c r="B176">
        <v>164</v>
      </c>
      <c r="C176">
        <f t="shared" si="15"/>
        <v>4</v>
      </c>
      <c r="D176">
        <f t="shared" si="16"/>
        <v>0</v>
      </c>
      <c r="E176">
        <f t="shared" si="17"/>
        <v>4</v>
      </c>
      <c r="G176">
        <v>4</v>
      </c>
      <c r="H176">
        <v>0</v>
      </c>
      <c r="I176">
        <v>4</v>
      </c>
      <c r="J176">
        <f t="shared" si="12"/>
        <v>164</v>
      </c>
      <c r="K176" s="227" t="str">
        <f t="shared" si="13"/>
        <v/>
      </c>
      <c r="N176" t="str">
        <f t="shared" si="14"/>
        <v>100000100</v>
      </c>
    </row>
    <row r="177" spans="2:14" x14ac:dyDescent="0.25">
      <c r="B177">
        <v>165</v>
      </c>
      <c r="C177">
        <f t="shared" si="15"/>
        <v>4</v>
      </c>
      <c r="D177">
        <f t="shared" si="16"/>
        <v>0</v>
      </c>
      <c r="E177">
        <f t="shared" si="17"/>
        <v>5</v>
      </c>
      <c r="G177">
        <v>4</v>
      </c>
      <c r="H177">
        <v>0</v>
      </c>
      <c r="I177">
        <v>5</v>
      </c>
      <c r="J177">
        <f t="shared" si="12"/>
        <v>165</v>
      </c>
      <c r="K177" s="105" t="str">
        <f t="shared" si="13"/>
        <v/>
      </c>
      <c r="N177" t="str">
        <f t="shared" si="14"/>
        <v>100000101</v>
      </c>
    </row>
    <row r="178" spans="2:14" x14ac:dyDescent="0.25">
      <c r="B178">
        <v>166</v>
      </c>
      <c r="C178">
        <f t="shared" si="15"/>
        <v>4</v>
      </c>
      <c r="D178">
        <f t="shared" si="16"/>
        <v>1</v>
      </c>
      <c r="E178">
        <f t="shared" si="17"/>
        <v>0</v>
      </c>
      <c r="G178">
        <v>4</v>
      </c>
      <c r="H178">
        <v>1</v>
      </c>
      <c r="I178">
        <v>0</v>
      </c>
      <c r="J178">
        <f t="shared" si="12"/>
        <v>166</v>
      </c>
      <c r="K178" s="177" t="str">
        <f t="shared" si="13"/>
        <v/>
      </c>
      <c r="N178" t="str">
        <f t="shared" si="14"/>
        <v>100001000</v>
      </c>
    </row>
    <row r="179" spans="2:14" x14ac:dyDescent="0.25">
      <c r="B179">
        <v>167</v>
      </c>
      <c r="C179">
        <f t="shared" si="15"/>
        <v>4</v>
      </c>
      <c r="D179">
        <f t="shared" si="16"/>
        <v>1</v>
      </c>
      <c r="E179">
        <f t="shared" si="17"/>
        <v>1</v>
      </c>
      <c r="G179">
        <v>4</v>
      </c>
      <c r="H179">
        <v>1</v>
      </c>
      <c r="I179">
        <v>1</v>
      </c>
      <c r="J179">
        <f t="shared" si="12"/>
        <v>167</v>
      </c>
      <c r="K179" s="106" t="str">
        <f t="shared" si="13"/>
        <v/>
      </c>
      <c r="N179" t="str">
        <f t="shared" si="14"/>
        <v>100001001</v>
      </c>
    </row>
    <row r="180" spans="2:14" x14ac:dyDescent="0.25">
      <c r="B180">
        <v>168</v>
      </c>
      <c r="C180">
        <f t="shared" si="15"/>
        <v>4</v>
      </c>
      <c r="D180">
        <f t="shared" si="16"/>
        <v>1</v>
      </c>
      <c r="E180">
        <f t="shared" si="17"/>
        <v>2</v>
      </c>
      <c r="G180">
        <v>4</v>
      </c>
      <c r="H180">
        <v>1</v>
      </c>
      <c r="I180">
        <v>2</v>
      </c>
      <c r="J180">
        <f t="shared" si="12"/>
        <v>168</v>
      </c>
      <c r="K180" s="228" t="str">
        <f t="shared" si="13"/>
        <v/>
      </c>
      <c r="N180" t="str">
        <f t="shared" si="14"/>
        <v>100001010</v>
      </c>
    </row>
    <row r="181" spans="2:14" x14ac:dyDescent="0.25">
      <c r="B181">
        <v>169</v>
      </c>
      <c r="C181">
        <f t="shared" si="15"/>
        <v>4</v>
      </c>
      <c r="D181">
        <f t="shared" si="16"/>
        <v>1</v>
      </c>
      <c r="E181">
        <f t="shared" si="17"/>
        <v>3</v>
      </c>
      <c r="G181">
        <v>4</v>
      </c>
      <c r="H181">
        <v>1</v>
      </c>
      <c r="I181">
        <v>3</v>
      </c>
      <c r="J181">
        <f t="shared" si="12"/>
        <v>169</v>
      </c>
      <c r="K181" s="107" t="str">
        <f t="shared" si="13"/>
        <v/>
      </c>
      <c r="N181" t="str">
        <f t="shared" si="14"/>
        <v>100001011</v>
      </c>
    </row>
    <row r="182" spans="2:14" x14ac:dyDescent="0.25">
      <c r="B182">
        <v>170</v>
      </c>
      <c r="C182">
        <f t="shared" si="15"/>
        <v>4</v>
      </c>
      <c r="D182">
        <f t="shared" si="16"/>
        <v>1</v>
      </c>
      <c r="E182">
        <f t="shared" si="17"/>
        <v>4</v>
      </c>
      <c r="G182">
        <v>4</v>
      </c>
      <c r="H182">
        <v>1</v>
      </c>
      <c r="I182">
        <v>4</v>
      </c>
      <c r="J182">
        <f t="shared" si="12"/>
        <v>170</v>
      </c>
      <c r="K182" s="178" t="str">
        <f t="shared" si="13"/>
        <v/>
      </c>
      <c r="N182" t="str">
        <f t="shared" si="14"/>
        <v>100001100</v>
      </c>
    </row>
    <row r="183" spans="2:14" x14ac:dyDescent="0.25">
      <c r="B183">
        <v>171</v>
      </c>
      <c r="C183">
        <f t="shared" si="15"/>
        <v>4</v>
      </c>
      <c r="D183">
        <f t="shared" si="16"/>
        <v>1</v>
      </c>
      <c r="E183">
        <f t="shared" si="17"/>
        <v>5</v>
      </c>
      <c r="G183">
        <v>4</v>
      </c>
      <c r="H183">
        <v>1</v>
      </c>
      <c r="I183">
        <v>5</v>
      </c>
      <c r="J183">
        <f t="shared" si="12"/>
        <v>171</v>
      </c>
      <c r="K183" s="108" t="str">
        <f t="shared" si="13"/>
        <v/>
      </c>
      <c r="N183" t="str">
        <f t="shared" si="14"/>
        <v>100001101</v>
      </c>
    </row>
    <row r="184" spans="2:14" x14ac:dyDescent="0.25">
      <c r="B184">
        <v>172</v>
      </c>
      <c r="C184">
        <f t="shared" si="15"/>
        <v>4</v>
      </c>
      <c r="D184">
        <f t="shared" si="16"/>
        <v>2</v>
      </c>
      <c r="E184">
        <f t="shared" si="17"/>
        <v>0</v>
      </c>
      <c r="G184">
        <v>4</v>
      </c>
      <c r="H184">
        <v>2</v>
      </c>
      <c r="I184">
        <v>0</v>
      </c>
      <c r="J184">
        <f t="shared" si="12"/>
        <v>172</v>
      </c>
      <c r="K184" s="229" t="str">
        <f t="shared" si="13"/>
        <v/>
      </c>
      <c r="N184" t="str">
        <f t="shared" si="14"/>
        <v>100010000</v>
      </c>
    </row>
    <row r="185" spans="2:14" x14ac:dyDescent="0.25">
      <c r="B185">
        <v>173</v>
      </c>
      <c r="C185">
        <f t="shared" si="15"/>
        <v>4</v>
      </c>
      <c r="D185">
        <f t="shared" si="16"/>
        <v>2</v>
      </c>
      <c r="E185">
        <f t="shared" si="17"/>
        <v>1</v>
      </c>
      <c r="G185">
        <v>4</v>
      </c>
      <c r="H185">
        <v>2</v>
      </c>
      <c r="I185">
        <v>1</v>
      </c>
      <c r="J185">
        <f t="shared" ref="J185:J243" si="18">16+36*G185+6*H185+I185</f>
        <v>173</v>
      </c>
      <c r="K185" s="109" t="str">
        <f t="shared" si="13"/>
        <v/>
      </c>
      <c r="N185" t="str">
        <f t="shared" si="14"/>
        <v>100010001</v>
      </c>
    </row>
    <row r="186" spans="2:14" x14ac:dyDescent="0.25">
      <c r="B186">
        <v>174</v>
      </c>
      <c r="C186">
        <f t="shared" si="15"/>
        <v>4</v>
      </c>
      <c r="D186">
        <f t="shared" si="16"/>
        <v>2</v>
      </c>
      <c r="E186">
        <f t="shared" si="17"/>
        <v>2</v>
      </c>
      <c r="G186">
        <v>4</v>
      </c>
      <c r="H186">
        <v>2</v>
      </c>
      <c r="I186">
        <v>2</v>
      </c>
      <c r="J186">
        <f t="shared" si="18"/>
        <v>174</v>
      </c>
      <c r="K186" s="179" t="str">
        <f t="shared" si="13"/>
        <v/>
      </c>
      <c r="N186" t="str">
        <f t="shared" si="14"/>
        <v>100010010</v>
      </c>
    </row>
    <row r="187" spans="2:14" x14ac:dyDescent="0.25">
      <c r="B187">
        <v>175</v>
      </c>
      <c r="C187">
        <f t="shared" si="15"/>
        <v>4</v>
      </c>
      <c r="D187">
        <f t="shared" si="16"/>
        <v>2</v>
      </c>
      <c r="E187">
        <f t="shared" si="17"/>
        <v>3</v>
      </c>
      <c r="G187">
        <v>4</v>
      </c>
      <c r="H187">
        <v>2</v>
      </c>
      <c r="I187">
        <v>3</v>
      </c>
      <c r="J187">
        <f t="shared" si="18"/>
        <v>175</v>
      </c>
      <c r="K187" s="110" t="str">
        <f t="shared" si="13"/>
        <v/>
      </c>
      <c r="N187" t="str">
        <f t="shared" si="14"/>
        <v>100010011</v>
      </c>
    </row>
    <row r="188" spans="2:14" x14ac:dyDescent="0.25">
      <c r="B188">
        <v>176</v>
      </c>
      <c r="C188">
        <f t="shared" si="15"/>
        <v>4</v>
      </c>
      <c r="D188">
        <f t="shared" si="16"/>
        <v>2</v>
      </c>
      <c r="E188">
        <f t="shared" si="17"/>
        <v>4</v>
      </c>
      <c r="G188">
        <v>4</v>
      </c>
      <c r="H188">
        <v>2</v>
      </c>
      <c r="I188">
        <v>4</v>
      </c>
      <c r="J188">
        <f t="shared" si="18"/>
        <v>176</v>
      </c>
      <c r="K188" s="230" t="str">
        <f t="shared" si="13"/>
        <v/>
      </c>
      <c r="N188" t="str">
        <f t="shared" si="14"/>
        <v>100010100</v>
      </c>
    </row>
    <row r="189" spans="2:14" x14ac:dyDescent="0.25">
      <c r="B189">
        <v>177</v>
      </c>
      <c r="C189">
        <f t="shared" si="15"/>
        <v>4</v>
      </c>
      <c r="D189">
        <f t="shared" si="16"/>
        <v>2</v>
      </c>
      <c r="E189">
        <f t="shared" si="17"/>
        <v>5</v>
      </c>
      <c r="G189">
        <v>4</v>
      </c>
      <c r="H189">
        <v>2</v>
      </c>
      <c r="I189">
        <v>5</v>
      </c>
      <c r="J189">
        <f t="shared" si="18"/>
        <v>177</v>
      </c>
      <c r="K189" s="111" t="str">
        <f t="shared" si="13"/>
        <v/>
      </c>
      <c r="N189" t="str">
        <f t="shared" si="14"/>
        <v>100010101</v>
      </c>
    </row>
    <row r="190" spans="2:14" x14ac:dyDescent="0.25">
      <c r="B190">
        <v>178</v>
      </c>
      <c r="C190">
        <f t="shared" si="15"/>
        <v>4</v>
      </c>
      <c r="D190">
        <f t="shared" si="16"/>
        <v>3</v>
      </c>
      <c r="E190">
        <f t="shared" si="17"/>
        <v>0</v>
      </c>
      <c r="G190">
        <v>4</v>
      </c>
      <c r="H190">
        <v>3</v>
      </c>
      <c r="I190">
        <v>0</v>
      </c>
      <c r="J190">
        <f t="shared" si="18"/>
        <v>178</v>
      </c>
      <c r="K190" s="180" t="str">
        <f t="shared" si="13"/>
        <v/>
      </c>
      <c r="N190" t="str">
        <f t="shared" si="14"/>
        <v>100011000</v>
      </c>
    </row>
    <row r="191" spans="2:14" x14ac:dyDescent="0.25">
      <c r="B191">
        <v>179</v>
      </c>
      <c r="C191">
        <f t="shared" si="15"/>
        <v>4</v>
      </c>
      <c r="D191">
        <f t="shared" si="16"/>
        <v>3</v>
      </c>
      <c r="E191">
        <f t="shared" si="17"/>
        <v>1</v>
      </c>
      <c r="G191">
        <v>4</v>
      </c>
      <c r="H191">
        <v>3</v>
      </c>
      <c r="I191">
        <v>1</v>
      </c>
      <c r="J191">
        <f t="shared" si="18"/>
        <v>179</v>
      </c>
      <c r="K191" s="112" t="str">
        <f t="shared" si="13"/>
        <v/>
      </c>
      <c r="N191" t="str">
        <f t="shared" si="14"/>
        <v>100011001</v>
      </c>
    </row>
    <row r="192" spans="2:14" x14ac:dyDescent="0.25">
      <c r="B192">
        <v>180</v>
      </c>
      <c r="C192">
        <f t="shared" si="15"/>
        <v>4</v>
      </c>
      <c r="D192">
        <f t="shared" si="16"/>
        <v>3</v>
      </c>
      <c r="E192">
        <f t="shared" si="17"/>
        <v>2</v>
      </c>
      <c r="G192">
        <v>4</v>
      </c>
      <c r="H192">
        <v>3</v>
      </c>
      <c r="I192">
        <v>2</v>
      </c>
      <c r="J192">
        <f t="shared" si="18"/>
        <v>180</v>
      </c>
      <c r="K192" s="231" t="str">
        <f t="shared" si="13"/>
        <v/>
      </c>
      <c r="N192" t="str">
        <f t="shared" si="14"/>
        <v>100011010</v>
      </c>
    </row>
    <row r="193" spans="2:14" x14ac:dyDescent="0.25">
      <c r="B193">
        <v>181</v>
      </c>
      <c r="C193">
        <f t="shared" si="15"/>
        <v>4</v>
      </c>
      <c r="D193">
        <f t="shared" si="16"/>
        <v>3</v>
      </c>
      <c r="E193">
        <f t="shared" si="17"/>
        <v>3</v>
      </c>
      <c r="G193">
        <v>4</v>
      </c>
      <c r="H193">
        <v>3</v>
      </c>
      <c r="I193">
        <v>3</v>
      </c>
      <c r="J193">
        <f t="shared" si="18"/>
        <v>181</v>
      </c>
      <c r="K193" s="113" t="str">
        <f t="shared" si="13"/>
        <v/>
      </c>
      <c r="N193" t="str">
        <f t="shared" si="14"/>
        <v>100011011</v>
      </c>
    </row>
    <row r="194" spans="2:14" x14ac:dyDescent="0.25">
      <c r="B194">
        <v>182</v>
      </c>
      <c r="C194">
        <f t="shared" si="15"/>
        <v>4</v>
      </c>
      <c r="D194">
        <f t="shared" si="16"/>
        <v>3</v>
      </c>
      <c r="E194">
        <f t="shared" si="17"/>
        <v>4</v>
      </c>
      <c r="G194">
        <v>4</v>
      </c>
      <c r="H194">
        <v>3</v>
      </c>
      <c r="I194">
        <v>4</v>
      </c>
      <c r="J194">
        <f t="shared" si="18"/>
        <v>182</v>
      </c>
      <c r="K194" s="181" t="str">
        <f t="shared" si="13"/>
        <v/>
      </c>
      <c r="N194" t="str">
        <f t="shared" si="14"/>
        <v>100011100</v>
      </c>
    </row>
    <row r="195" spans="2:14" x14ac:dyDescent="0.25">
      <c r="B195">
        <v>183</v>
      </c>
      <c r="C195">
        <f t="shared" si="15"/>
        <v>4</v>
      </c>
      <c r="D195">
        <f t="shared" si="16"/>
        <v>3</v>
      </c>
      <c r="E195">
        <f t="shared" si="17"/>
        <v>5</v>
      </c>
      <c r="G195">
        <v>4</v>
      </c>
      <c r="H195">
        <v>3</v>
      </c>
      <c r="I195">
        <v>5</v>
      </c>
      <c r="J195">
        <f t="shared" si="18"/>
        <v>183</v>
      </c>
      <c r="K195" s="114" t="str">
        <f t="shared" si="13"/>
        <v/>
      </c>
      <c r="N195" t="str">
        <f t="shared" si="14"/>
        <v>100011101</v>
      </c>
    </row>
    <row r="196" spans="2:14" x14ac:dyDescent="0.25">
      <c r="B196">
        <v>184</v>
      </c>
      <c r="C196">
        <f t="shared" si="15"/>
        <v>4</v>
      </c>
      <c r="D196">
        <f t="shared" si="16"/>
        <v>4</v>
      </c>
      <c r="E196">
        <f t="shared" si="17"/>
        <v>0</v>
      </c>
      <c r="G196">
        <v>4</v>
      </c>
      <c r="H196">
        <v>4</v>
      </c>
      <c r="I196">
        <v>0</v>
      </c>
      <c r="J196">
        <f t="shared" si="18"/>
        <v>184</v>
      </c>
      <c r="K196" s="232" t="str">
        <f t="shared" si="13"/>
        <v/>
      </c>
      <c r="N196" t="str">
        <f t="shared" si="14"/>
        <v>100100000</v>
      </c>
    </row>
    <row r="197" spans="2:14" x14ac:dyDescent="0.25">
      <c r="B197">
        <v>185</v>
      </c>
      <c r="C197">
        <f t="shared" si="15"/>
        <v>4</v>
      </c>
      <c r="D197">
        <f t="shared" si="16"/>
        <v>4</v>
      </c>
      <c r="E197">
        <f t="shared" si="17"/>
        <v>1</v>
      </c>
      <c r="G197">
        <v>4</v>
      </c>
      <c r="H197">
        <v>4</v>
      </c>
      <c r="I197">
        <v>1</v>
      </c>
      <c r="J197">
        <f t="shared" si="18"/>
        <v>185</v>
      </c>
      <c r="K197" s="115" t="str">
        <f t="shared" si="13"/>
        <v/>
      </c>
      <c r="N197" t="str">
        <f t="shared" si="14"/>
        <v>100100001</v>
      </c>
    </row>
    <row r="198" spans="2:14" x14ac:dyDescent="0.25">
      <c r="B198">
        <v>186</v>
      </c>
      <c r="C198">
        <f t="shared" si="15"/>
        <v>4</v>
      </c>
      <c r="D198">
        <f t="shared" si="16"/>
        <v>4</v>
      </c>
      <c r="E198">
        <f t="shared" si="17"/>
        <v>2</v>
      </c>
      <c r="G198">
        <v>4</v>
      </c>
      <c r="H198">
        <v>4</v>
      </c>
      <c r="I198">
        <v>2</v>
      </c>
      <c r="J198">
        <f t="shared" si="18"/>
        <v>186</v>
      </c>
      <c r="K198" s="182" t="str">
        <f t="shared" si="13"/>
        <v/>
      </c>
      <c r="N198" t="str">
        <f t="shared" si="14"/>
        <v>100100010</v>
      </c>
    </row>
    <row r="199" spans="2:14" x14ac:dyDescent="0.25">
      <c r="B199">
        <v>187</v>
      </c>
      <c r="C199">
        <f t="shared" si="15"/>
        <v>4</v>
      </c>
      <c r="D199">
        <f t="shared" si="16"/>
        <v>4</v>
      </c>
      <c r="E199">
        <f t="shared" si="17"/>
        <v>3</v>
      </c>
      <c r="G199">
        <v>4</v>
      </c>
      <c r="H199">
        <v>4</v>
      </c>
      <c r="I199">
        <v>3</v>
      </c>
      <c r="J199">
        <f t="shared" si="18"/>
        <v>187</v>
      </c>
      <c r="K199" s="116" t="str">
        <f t="shared" si="13"/>
        <v/>
      </c>
      <c r="N199" t="str">
        <f t="shared" si="14"/>
        <v>100100011</v>
      </c>
    </row>
    <row r="200" spans="2:14" x14ac:dyDescent="0.25">
      <c r="B200">
        <v>188</v>
      </c>
      <c r="C200">
        <f t="shared" si="15"/>
        <v>4</v>
      </c>
      <c r="D200">
        <f t="shared" si="16"/>
        <v>4</v>
      </c>
      <c r="E200">
        <f t="shared" si="17"/>
        <v>4</v>
      </c>
      <c r="G200">
        <v>4</v>
      </c>
      <c r="H200">
        <v>4</v>
      </c>
      <c r="I200">
        <v>4</v>
      </c>
      <c r="J200">
        <f t="shared" si="18"/>
        <v>188</v>
      </c>
      <c r="K200" s="31" t="str">
        <f t="shared" si="13"/>
        <v/>
      </c>
      <c r="N200" t="str">
        <f t="shared" si="14"/>
        <v>100100100</v>
      </c>
    </row>
    <row r="201" spans="2:14" x14ac:dyDescent="0.25">
      <c r="B201">
        <v>189</v>
      </c>
      <c r="C201">
        <f t="shared" si="15"/>
        <v>4</v>
      </c>
      <c r="D201">
        <f t="shared" si="16"/>
        <v>4</v>
      </c>
      <c r="E201">
        <f t="shared" si="17"/>
        <v>5</v>
      </c>
      <c r="G201">
        <v>4</v>
      </c>
      <c r="H201">
        <v>4</v>
      </c>
      <c r="I201">
        <v>5</v>
      </c>
      <c r="J201">
        <f t="shared" si="18"/>
        <v>189</v>
      </c>
      <c r="K201" s="117" t="str">
        <f t="shared" si="13"/>
        <v/>
      </c>
      <c r="N201" t="str">
        <f t="shared" si="14"/>
        <v>100100101</v>
      </c>
    </row>
    <row r="202" spans="2:14" x14ac:dyDescent="0.25">
      <c r="B202">
        <v>190</v>
      </c>
      <c r="C202">
        <f t="shared" si="15"/>
        <v>4</v>
      </c>
      <c r="D202">
        <f t="shared" si="16"/>
        <v>5</v>
      </c>
      <c r="E202">
        <f t="shared" si="17"/>
        <v>0</v>
      </c>
      <c r="G202">
        <v>4</v>
      </c>
      <c r="H202">
        <v>5</v>
      </c>
      <c r="I202">
        <v>0</v>
      </c>
      <c r="J202">
        <f t="shared" si="18"/>
        <v>190</v>
      </c>
      <c r="K202" s="183" t="str">
        <f t="shared" si="13"/>
        <v/>
      </c>
      <c r="N202" t="str">
        <f t="shared" si="14"/>
        <v>100101000</v>
      </c>
    </row>
    <row r="203" spans="2:14" x14ac:dyDescent="0.25">
      <c r="B203">
        <v>191</v>
      </c>
      <c r="C203">
        <f t="shared" si="15"/>
        <v>4</v>
      </c>
      <c r="D203">
        <f t="shared" si="16"/>
        <v>5</v>
      </c>
      <c r="E203">
        <f t="shared" si="17"/>
        <v>1</v>
      </c>
      <c r="G203">
        <v>4</v>
      </c>
      <c r="H203">
        <v>5</v>
      </c>
      <c r="I203">
        <v>1</v>
      </c>
      <c r="J203">
        <f t="shared" si="18"/>
        <v>191</v>
      </c>
      <c r="K203" s="118" t="str">
        <f t="shared" si="13"/>
        <v/>
      </c>
      <c r="N203" t="str">
        <f t="shared" si="14"/>
        <v>100101001</v>
      </c>
    </row>
    <row r="204" spans="2:14" x14ac:dyDescent="0.25">
      <c r="B204">
        <v>192</v>
      </c>
      <c r="C204">
        <f t="shared" si="15"/>
        <v>4</v>
      </c>
      <c r="D204">
        <f t="shared" si="16"/>
        <v>5</v>
      </c>
      <c r="E204">
        <f t="shared" si="17"/>
        <v>2</v>
      </c>
      <c r="G204">
        <v>4</v>
      </c>
      <c r="H204">
        <v>5</v>
      </c>
      <c r="I204">
        <v>2</v>
      </c>
      <c r="J204">
        <f t="shared" si="18"/>
        <v>192</v>
      </c>
      <c r="K204" s="233" t="str">
        <f t="shared" si="13"/>
        <v/>
      </c>
      <c r="N204" t="str">
        <f t="shared" si="14"/>
        <v>100101010</v>
      </c>
    </row>
    <row r="205" spans="2:14" x14ac:dyDescent="0.25">
      <c r="B205">
        <v>193</v>
      </c>
      <c r="C205">
        <f t="shared" si="15"/>
        <v>4</v>
      </c>
      <c r="D205">
        <f t="shared" si="16"/>
        <v>5</v>
      </c>
      <c r="E205">
        <f t="shared" si="17"/>
        <v>3</v>
      </c>
      <c r="G205">
        <v>4</v>
      </c>
      <c r="H205">
        <v>5</v>
      </c>
      <c r="I205">
        <v>3</v>
      </c>
      <c r="J205">
        <f t="shared" si="18"/>
        <v>193</v>
      </c>
      <c r="K205" s="119" t="str">
        <f t="shared" ref="K205:K243" si="19">myRGB(G205*51,H205*51,I205*51)</f>
        <v/>
      </c>
      <c r="N205" t="str">
        <f t="shared" ref="N205:N243" si="20">DEC2BIN(G205,3)&amp;DEC2BIN(H205,3)&amp;DEC2BIN(I205,3)</f>
        <v>100101011</v>
      </c>
    </row>
    <row r="206" spans="2:14" x14ac:dyDescent="0.25">
      <c r="B206">
        <v>194</v>
      </c>
      <c r="C206">
        <f t="shared" si="15"/>
        <v>4</v>
      </c>
      <c r="D206">
        <f t="shared" si="16"/>
        <v>5</v>
      </c>
      <c r="E206">
        <f t="shared" si="17"/>
        <v>4</v>
      </c>
      <c r="G206">
        <v>4</v>
      </c>
      <c r="H206">
        <v>5</v>
      </c>
      <c r="I206">
        <v>4</v>
      </c>
      <c r="J206">
        <f t="shared" si="18"/>
        <v>194</v>
      </c>
      <c r="K206" s="184" t="str">
        <f t="shared" si="19"/>
        <v/>
      </c>
      <c r="N206" t="str">
        <f t="shared" si="20"/>
        <v>100101100</v>
      </c>
    </row>
    <row r="207" spans="2:14" x14ac:dyDescent="0.25">
      <c r="B207">
        <v>195</v>
      </c>
      <c r="C207">
        <f t="shared" si="15"/>
        <v>4</v>
      </c>
      <c r="D207">
        <f t="shared" si="16"/>
        <v>5</v>
      </c>
      <c r="E207">
        <f t="shared" si="17"/>
        <v>5</v>
      </c>
      <c r="G207">
        <v>4</v>
      </c>
      <c r="H207">
        <v>5</v>
      </c>
      <c r="I207">
        <v>5</v>
      </c>
      <c r="J207">
        <f t="shared" si="18"/>
        <v>195</v>
      </c>
      <c r="K207" s="120" t="str">
        <f t="shared" si="19"/>
        <v/>
      </c>
      <c r="N207" t="str">
        <f t="shared" si="20"/>
        <v>100101101</v>
      </c>
    </row>
    <row r="208" spans="2:14" x14ac:dyDescent="0.25">
      <c r="B208">
        <v>196</v>
      </c>
      <c r="C208">
        <f t="shared" si="15"/>
        <v>5</v>
      </c>
      <c r="D208">
        <f t="shared" si="16"/>
        <v>0</v>
      </c>
      <c r="E208">
        <f t="shared" si="17"/>
        <v>0</v>
      </c>
      <c r="G208">
        <v>5</v>
      </c>
      <c r="H208">
        <v>0</v>
      </c>
      <c r="I208">
        <v>0</v>
      </c>
      <c r="J208">
        <f t="shared" si="18"/>
        <v>196</v>
      </c>
      <c r="K208" s="139" t="str">
        <f t="shared" si="19"/>
        <v/>
      </c>
      <c r="N208" t="str">
        <f t="shared" si="20"/>
        <v>101000000</v>
      </c>
    </row>
    <row r="209" spans="2:14" x14ac:dyDescent="0.25">
      <c r="B209">
        <v>197</v>
      </c>
      <c r="C209">
        <f t="shared" si="15"/>
        <v>5</v>
      </c>
      <c r="D209">
        <f t="shared" si="16"/>
        <v>0</v>
      </c>
      <c r="E209">
        <f t="shared" si="17"/>
        <v>1</v>
      </c>
      <c r="G209">
        <v>5</v>
      </c>
      <c r="H209">
        <v>0</v>
      </c>
      <c r="I209">
        <v>1</v>
      </c>
      <c r="J209">
        <f t="shared" si="18"/>
        <v>197</v>
      </c>
      <c r="K209" s="121" t="str">
        <f t="shared" si="19"/>
        <v/>
      </c>
      <c r="N209" t="str">
        <f t="shared" si="20"/>
        <v>101000001</v>
      </c>
    </row>
    <row r="210" spans="2:14" x14ac:dyDescent="0.25">
      <c r="B210">
        <v>198</v>
      </c>
      <c r="C210">
        <f t="shared" si="15"/>
        <v>5</v>
      </c>
      <c r="D210">
        <f t="shared" si="16"/>
        <v>0</v>
      </c>
      <c r="E210">
        <f t="shared" si="17"/>
        <v>2</v>
      </c>
      <c r="G210">
        <v>5</v>
      </c>
      <c r="H210">
        <v>0</v>
      </c>
      <c r="I210">
        <v>2</v>
      </c>
      <c r="J210">
        <f t="shared" si="18"/>
        <v>198</v>
      </c>
      <c r="K210" s="185" t="str">
        <f t="shared" si="19"/>
        <v/>
      </c>
      <c r="N210" t="str">
        <f t="shared" si="20"/>
        <v>101000010</v>
      </c>
    </row>
    <row r="211" spans="2:14" x14ac:dyDescent="0.25">
      <c r="B211">
        <v>199</v>
      </c>
      <c r="C211">
        <f t="shared" si="15"/>
        <v>5</v>
      </c>
      <c r="D211">
        <f t="shared" si="16"/>
        <v>0</v>
      </c>
      <c r="E211">
        <f t="shared" si="17"/>
        <v>3</v>
      </c>
      <c r="G211">
        <v>5</v>
      </c>
      <c r="H211">
        <v>0</v>
      </c>
      <c r="I211">
        <v>3</v>
      </c>
      <c r="J211">
        <f t="shared" si="18"/>
        <v>199</v>
      </c>
      <c r="K211" s="122" t="str">
        <f t="shared" si="19"/>
        <v/>
      </c>
      <c r="N211" t="str">
        <f t="shared" si="20"/>
        <v>101000011</v>
      </c>
    </row>
    <row r="212" spans="2:14" x14ac:dyDescent="0.25">
      <c r="B212">
        <v>200</v>
      </c>
      <c r="C212">
        <f t="shared" si="15"/>
        <v>5</v>
      </c>
      <c r="D212">
        <f t="shared" si="16"/>
        <v>0</v>
      </c>
      <c r="E212">
        <f t="shared" si="17"/>
        <v>4</v>
      </c>
      <c r="G212">
        <v>5</v>
      </c>
      <c r="H212">
        <v>0</v>
      </c>
      <c r="I212">
        <v>4</v>
      </c>
      <c r="J212">
        <f t="shared" si="18"/>
        <v>200</v>
      </c>
      <c r="K212" s="234" t="str">
        <f t="shared" si="19"/>
        <v/>
      </c>
      <c r="N212" t="str">
        <f t="shared" si="20"/>
        <v>101000100</v>
      </c>
    </row>
    <row r="213" spans="2:14" x14ac:dyDescent="0.25">
      <c r="B213">
        <v>201</v>
      </c>
      <c r="C213">
        <f t="shared" si="15"/>
        <v>5</v>
      </c>
      <c r="D213">
        <f t="shared" si="16"/>
        <v>0</v>
      </c>
      <c r="E213">
        <f t="shared" si="17"/>
        <v>5</v>
      </c>
      <c r="G213">
        <v>5</v>
      </c>
      <c r="H213">
        <v>0</v>
      </c>
      <c r="I213">
        <v>5</v>
      </c>
      <c r="J213">
        <f t="shared" si="18"/>
        <v>201</v>
      </c>
      <c r="K213" s="123" t="str">
        <f t="shared" si="19"/>
        <v/>
      </c>
      <c r="N213" t="str">
        <f t="shared" si="20"/>
        <v>101000101</v>
      </c>
    </row>
    <row r="214" spans="2:14" x14ac:dyDescent="0.25">
      <c r="B214">
        <v>202</v>
      </c>
      <c r="C214">
        <f t="shared" si="15"/>
        <v>5</v>
      </c>
      <c r="D214">
        <f t="shared" si="16"/>
        <v>1</v>
      </c>
      <c r="E214">
        <f t="shared" si="17"/>
        <v>0</v>
      </c>
      <c r="G214">
        <v>5</v>
      </c>
      <c r="H214">
        <v>1</v>
      </c>
      <c r="I214">
        <v>0</v>
      </c>
      <c r="J214">
        <f t="shared" si="18"/>
        <v>202</v>
      </c>
      <c r="K214" s="186" t="str">
        <f t="shared" si="19"/>
        <v/>
      </c>
      <c r="N214" t="str">
        <f t="shared" si="20"/>
        <v>101001000</v>
      </c>
    </row>
    <row r="215" spans="2:14" x14ac:dyDescent="0.25">
      <c r="B215">
        <v>203</v>
      </c>
      <c r="C215">
        <f t="shared" si="15"/>
        <v>5</v>
      </c>
      <c r="D215">
        <f t="shared" si="16"/>
        <v>1</v>
      </c>
      <c r="E215">
        <f t="shared" si="17"/>
        <v>1</v>
      </c>
      <c r="G215">
        <v>5</v>
      </c>
      <c r="H215">
        <v>1</v>
      </c>
      <c r="I215">
        <v>1</v>
      </c>
      <c r="J215">
        <f t="shared" si="18"/>
        <v>203</v>
      </c>
      <c r="K215" s="124" t="str">
        <f t="shared" si="19"/>
        <v/>
      </c>
      <c r="N215" t="str">
        <f t="shared" si="20"/>
        <v>101001001</v>
      </c>
    </row>
    <row r="216" spans="2:14" x14ac:dyDescent="0.25">
      <c r="B216">
        <v>204</v>
      </c>
      <c r="C216">
        <f t="shared" si="15"/>
        <v>5</v>
      </c>
      <c r="D216">
        <f t="shared" si="16"/>
        <v>1</v>
      </c>
      <c r="E216">
        <f t="shared" si="17"/>
        <v>2</v>
      </c>
      <c r="G216">
        <v>5</v>
      </c>
      <c r="H216">
        <v>1</v>
      </c>
      <c r="I216">
        <v>2</v>
      </c>
      <c r="J216">
        <f t="shared" si="18"/>
        <v>204</v>
      </c>
      <c r="K216" s="235" t="str">
        <f t="shared" si="19"/>
        <v/>
      </c>
      <c r="N216" t="str">
        <f t="shared" si="20"/>
        <v>101001010</v>
      </c>
    </row>
    <row r="217" spans="2:14" x14ac:dyDescent="0.25">
      <c r="B217">
        <v>205</v>
      </c>
      <c r="C217">
        <f t="shared" si="15"/>
        <v>5</v>
      </c>
      <c r="D217">
        <f t="shared" si="16"/>
        <v>1</v>
      </c>
      <c r="E217">
        <f t="shared" si="17"/>
        <v>3</v>
      </c>
      <c r="G217">
        <v>5</v>
      </c>
      <c r="H217">
        <v>1</v>
      </c>
      <c r="I217">
        <v>3</v>
      </c>
      <c r="J217">
        <f t="shared" si="18"/>
        <v>205</v>
      </c>
      <c r="K217" s="125" t="str">
        <f t="shared" si="19"/>
        <v/>
      </c>
      <c r="N217" t="str">
        <f t="shared" si="20"/>
        <v>101001011</v>
      </c>
    </row>
    <row r="218" spans="2:14" x14ac:dyDescent="0.25">
      <c r="B218">
        <v>206</v>
      </c>
      <c r="C218">
        <f t="shared" si="15"/>
        <v>5</v>
      </c>
      <c r="D218">
        <f t="shared" si="16"/>
        <v>1</v>
      </c>
      <c r="E218">
        <f t="shared" si="17"/>
        <v>4</v>
      </c>
      <c r="G218">
        <v>5</v>
      </c>
      <c r="H218">
        <v>1</v>
      </c>
      <c r="I218">
        <v>4</v>
      </c>
      <c r="J218">
        <f t="shared" si="18"/>
        <v>206</v>
      </c>
      <c r="K218" s="187" t="str">
        <f t="shared" si="19"/>
        <v/>
      </c>
      <c r="N218" t="str">
        <f t="shared" si="20"/>
        <v>101001100</v>
      </c>
    </row>
    <row r="219" spans="2:14" x14ac:dyDescent="0.25">
      <c r="B219">
        <v>207</v>
      </c>
      <c r="C219">
        <f t="shared" si="15"/>
        <v>5</v>
      </c>
      <c r="D219">
        <f t="shared" si="16"/>
        <v>1</v>
      </c>
      <c r="E219">
        <f t="shared" si="17"/>
        <v>5</v>
      </c>
      <c r="G219">
        <v>5</v>
      </c>
      <c r="H219">
        <v>1</v>
      </c>
      <c r="I219">
        <v>5</v>
      </c>
      <c r="J219">
        <f t="shared" si="18"/>
        <v>207</v>
      </c>
      <c r="K219" s="126" t="str">
        <f t="shared" si="19"/>
        <v/>
      </c>
      <c r="N219" t="str">
        <f t="shared" si="20"/>
        <v>101001101</v>
      </c>
    </row>
    <row r="220" spans="2:14" x14ac:dyDescent="0.25">
      <c r="B220">
        <v>208</v>
      </c>
      <c r="C220">
        <f t="shared" si="15"/>
        <v>5</v>
      </c>
      <c r="D220">
        <f t="shared" si="16"/>
        <v>2</v>
      </c>
      <c r="E220">
        <f t="shared" si="17"/>
        <v>0</v>
      </c>
      <c r="G220">
        <v>5</v>
      </c>
      <c r="H220">
        <v>2</v>
      </c>
      <c r="I220">
        <v>0</v>
      </c>
      <c r="J220">
        <f t="shared" si="18"/>
        <v>208</v>
      </c>
      <c r="K220" s="236" t="str">
        <f t="shared" si="19"/>
        <v/>
      </c>
      <c r="N220" t="str">
        <f t="shared" si="20"/>
        <v>101010000</v>
      </c>
    </row>
    <row r="221" spans="2:14" x14ac:dyDescent="0.25">
      <c r="B221">
        <v>209</v>
      </c>
      <c r="C221">
        <f t="shared" ref="C221:C243" si="21">INT(((B221-16)/36))</f>
        <v>5</v>
      </c>
      <c r="D221">
        <f t="shared" ref="D221:D243" si="22">INT(MOD(B221-16,36)/6)</f>
        <v>2</v>
      </c>
      <c r="E221">
        <f t="shared" ref="E221:E243" si="23">INT(MOD(B221-16,6))</f>
        <v>1</v>
      </c>
      <c r="G221">
        <v>5</v>
      </c>
      <c r="H221">
        <v>2</v>
      </c>
      <c r="I221">
        <v>1</v>
      </c>
      <c r="J221">
        <f t="shared" si="18"/>
        <v>209</v>
      </c>
      <c r="K221" s="127" t="str">
        <f t="shared" si="19"/>
        <v/>
      </c>
      <c r="N221" t="str">
        <f t="shared" si="20"/>
        <v>101010001</v>
      </c>
    </row>
    <row r="222" spans="2:14" x14ac:dyDescent="0.25">
      <c r="B222">
        <v>210</v>
      </c>
      <c r="C222">
        <f t="shared" si="21"/>
        <v>5</v>
      </c>
      <c r="D222">
        <f t="shared" si="22"/>
        <v>2</v>
      </c>
      <c r="E222">
        <f t="shared" si="23"/>
        <v>2</v>
      </c>
      <c r="G222">
        <v>5</v>
      </c>
      <c r="H222">
        <v>2</v>
      </c>
      <c r="I222">
        <v>2</v>
      </c>
      <c r="J222">
        <f t="shared" si="18"/>
        <v>210</v>
      </c>
      <c r="K222" s="188" t="str">
        <f t="shared" si="19"/>
        <v/>
      </c>
      <c r="N222" t="str">
        <f t="shared" si="20"/>
        <v>101010010</v>
      </c>
    </row>
    <row r="223" spans="2:14" x14ac:dyDescent="0.25">
      <c r="B223">
        <v>211</v>
      </c>
      <c r="C223">
        <f t="shared" si="21"/>
        <v>5</v>
      </c>
      <c r="D223">
        <f t="shared" si="22"/>
        <v>2</v>
      </c>
      <c r="E223">
        <f t="shared" si="23"/>
        <v>3</v>
      </c>
      <c r="G223">
        <v>5</v>
      </c>
      <c r="H223">
        <v>2</v>
      </c>
      <c r="I223">
        <v>3</v>
      </c>
      <c r="J223">
        <f t="shared" si="18"/>
        <v>211</v>
      </c>
      <c r="K223" s="128" t="str">
        <f t="shared" si="19"/>
        <v/>
      </c>
      <c r="N223" t="str">
        <f t="shared" si="20"/>
        <v>101010011</v>
      </c>
    </row>
    <row r="224" spans="2:14" x14ac:dyDescent="0.25">
      <c r="B224">
        <v>212</v>
      </c>
      <c r="C224">
        <f t="shared" si="21"/>
        <v>5</v>
      </c>
      <c r="D224">
        <f t="shared" si="22"/>
        <v>2</v>
      </c>
      <c r="E224">
        <f t="shared" si="23"/>
        <v>4</v>
      </c>
      <c r="G224">
        <v>5</v>
      </c>
      <c r="H224">
        <v>2</v>
      </c>
      <c r="I224">
        <v>4</v>
      </c>
      <c r="J224">
        <f t="shared" si="18"/>
        <v>212</v>
      </c>
      <c r="K224" s="237" t="str">
        <f t="shared" si="19"/>
        <v/>
      </c>
      <c r="N224" t="str">
        <f t="shared" si="20"/>
        <v>101010100</v>
      </c>
    </row>
    <row r="225" spans="2:14" x14ac:dyDescent="0.25">
      <c r="B225">
        <v>213</v>
      </c>
      <c r="C225">
        <f t="shared" si="21"/>
        <v>5</v>
      </c>
      <c r="D225">
        <f t="shared" si="22"/>
        <v>2</v>
      </c>
      <c r="E225">
        <f t="shared" si="23"/>
        <v>5</v>
      </c>
      <c r="G225">
        <v>5</v>
      </c>
      <c r="H225">
        <v>2</v>
      </c>
      <c r="I225">
        <v>5</v>
      </c>
      <c r="J225">
        <f t="shared" si="18"/>
        <v>213</v>
      </c>
      <c r="K225" s="129" t="str">
        <f t="shared" si="19"/>
        <v/>
      </c>
      <c r="N225" t="str">
        <f t="shared" si="20"/>
        <v>101010101</v>
      </c>
    </row>
    <row r="226" spans="2:14" x14ac:dyDescent="0.25">
      <c r="B226">
        <v>214</v>
      </c>
      <c r="C226">
        <f t="shared" si="21"/>
        <v>5</v>
      </c>
      <c r="D226">
        <f t="shared" si="22"/>
        <v>3</v>
      </c>
      <c r="E226">
        <f t="shared" si="23"/>
        <v>0</v>
      </c>
      <c r="G226">
        <v>5</v>
      </c>
      <c r="H226">
        <v>3</v>
      </c>
      <c r="I226">
        <v>0</v>
      </c>
      <c r="J226">
        <f t="shared" si="18"/>
        <v>214</v>
      </c>
      <c r="K226" s="189" t="str">
        <f t="shared" si="19"/>
        <v/>
      </c>
      <c r="N226" t="str">
        <f t="shared" si="20"/>
        <v>101011000</v>
      </c>
    </row>
    <row r="227" spans="2:14" x14ac:dyDescent="0.25">
      <c r="B227">
        <v>215</v>
      </c>
      <c r="C227">
        <f t="shared" si="21"/>
        <v>5</v>
      </c>
      <c r="D227">
        <f t="shared" si="22"/>
        <v>3</v>
      </c>
      <c r="E227">
        <f t="shared" si="23"/>
        <v>1</v>
      </c>
      <c r="G227">
        <v>5</v>
      </c>
      <c r="H227">
        <v>3</v>
      </c>
      <c r="I227">
        <v>1</v>
      </c>
      <c r="J227">
        <f t="shared" si="18"/>
        <v>215</v>
      </c>
      <c r="K227" s="130" t="str">
        <f t="shared" si="19"/>
        <v/>
      </c>
      <c r="N227" t="str">
        <f t="shared" si="20"/>
        <v>101011001</v>
      </c>
    </row>
    <row r="228" spans="2:14" x14ac:dyDescent="0.25">
      <c r="B228">
        <v>216</v>
      </c>
      <c r="C228">
        <f t="shared" si="21"/>
        <v>5</v>
      </c>
      <c r="D228">
        <f t="shared" si="22"/>
        <v>3</v>
      </c>
      <c r="E228">
        <f t="shared" si="23"/>
        <v>2</v>
      </c>
      <c r="G228">
        <v>5</v>
      </c>
      <c r="H228">
        <v>3</v>
      </c>
      <c r="I228">
        <v>2</v>
      </c>
      <c r="J228">
        <f t="shared" si="18"/>
        <v>216</v>
      </c>
      <c r="K228" s="238" t="str">
        <f t="shared" si="19"/>
        <v/>
      </c>
      <c r="N228" t="str">
        <f t="shared" si="20"/>
        <v>101011010</v>
      </c>
    </row>
    <row r="229" spans="2:14" x14ac:dyDescent="0.25">
      <c r="B229">
        <v>217</v>
      </c>
      <c r="C229">
        <f t="shared" si="21"/>
        <v>5</v>
      </c>
      <c r="D229">
        <f t="shared" si="22"/>
        <v>3</v>
      </c>
      <c r="E229">
        <f t="shared" si="23"/>
        <v>3</v>
      </c>
      <c r="G229">
        <v>5</v>
      </c>
      <c r="H229">
        <v>3</v>
      </c>
      <c r="I229">
        <v>3</v>
      </c>
      <c r="J229">
        <f t="shared" si="18"/>
        <v>217</v>
      </c>
      <c r="K229" s="131" t="str">
        <f t="shared" si="19"/>
        <v/>
      </c>
      <c r="N229" t="str">
        <f t="shared" si="20"/>
        <v>101011011</v>
      </c>
    </row>
    <row r="230" spans="2:14" x14ac:dyDescent="0.25">
      <c r="B230">
        <v>218</v>
      </c>
      <c r="C230">
        <f t="shared" si="21"/>
        <v>5</v>
      </c>
      <c r="D230">
        <f t="shared" si="22"/>
        <v>3</v>
      </c>
      <c r="E230">
        <f t="shared" si="23"/>
        <v>4</v>
      </c>
      <c r="G230">
        <v>5</v>
      </c>
      <c r="H230">
        <v>3</v>
      </c>
      <c r="I230">
        <v>4</v>
      </c>
      <c r="J230">
        <f t="shared" si="18"/>
        <v>218</v>
      </c>
      <c r="K230" s="190" t="str">
        <f t="shared" si="19"/>
        <v/>
      </c>
      <c r="N230" t="str">
        <f t="shared" si="20"/>
        <v>101011100</v>
      </c>
    </row>
    <row r="231" spans="2:14" x14ac:dyDescent="0.25">
      <c r="B231">
        <v>219</v>
      </c>
      <c r="C231">
        <f t="shared" si="21"/>
        <v>5</v>
      </c>
      <c r="D231">
        <f t="shared" si="22"/>
        <v>3</v>
      </c>
      <c r="E231">
        <f t="shared" si="23"/>
        <v>5</v>
      </c>
      <c r="G231">
        <v>5</v>
      </c>
      <c r="H231">
        <v>3</v>
      </c>
      <c r="I231">
        <v>5</v>
      </c>
      <c r="J231">
        <f t="shared" si="18"/>
        <v>219</v>
      </c>
      <c r="K231" s="132" t="str">
        <f t="shared" si="19"/>
        <v/>
      </c>
      <c r="N231" t="str">
        <f t="shared" si="20"/>
        <v>101011101</v>
      </c>
    </row>
    <row r="232" spans="2:14" x14ac:dyDescent="0.25">
      <c r="B232">
        <v>220</v>
      </c>
      <c r="C232">
        <f t="shared" si="21"/>
        <v>5</v>
      </c>
      <c r="D232">
        <f t="shared" si="22"/>
        <v>4</v>
      </c>
      <c r="E232">
        <f t="shared" si="23"/>
        <v>0</v>
      </c>
      <c r="G232">
        <v>5</v>
      </c>
      <c r="H232">
        <v>4</v>
      </c>
      <c r="I232">
        <v>0</v>
      </c>
      <c r="J232">
        <f t="shared" si="18"/>
        <v>220</v>
      </c>
      <c r="K232" s="239" t="str">
        <f t="shared" si="19"/>
        <v/>
      </c>
      <c r="N232" t="str">
        <f t="shared" si="20"/>
        <v>101100000</v>
      </c>
    </row>
    <row r="233" spans="2:14" x14ac:dyDescent="0.25">
      <c r="B233">
        <v>221</v>
      </c>
      <c r="C233">
        <f t="shared" si="21"/>
        <v>5</v>
      </c>
      <c r="D233">
        <f t="shared" si="22"/>
        <v>4</v>
      </c>
      <c r="E233">
        <f t="shared" si="23"/>
        <v>1</v>
      </c>
      <c r="G233">
        <v>5</v>
      </c>
      <c r="H233">
        <v>4</v>
      </c>
      <c r="I233">
        <v>1</v>
      </c>
      <c r="J233">
        <f t="shared" si="18"/>
        <v>221</v>
      </c>
      <c r="K233" s="133" t="str">
        <f t="shared" si="19"/>
        <v/>
      </c>
      <c r="N233" t="str">
        <f t="shared" si="20"/>
        <v>101100001</v>
      </c>
    </row>
    <row r="234" spans="2:14" x14ac:dyDescent="0.25">
      <c r="B234">
        <v>222</v>
      </c>
      <c r="C234">
        <f t="shared" si="21"/>
        <v>5</v>
      </c>
      <c r="D234">
        <f t="shared" si="22"/>
        <v>4</v>
      </c>
      <c r="E234">
        <f t="shared" si="23"/>
        <v>2</v>
      </c>
      <c r="G234">
        <v>5</v>
      </c>
      <c r="H234">
        <v>4</v>
      </c>
      <c r="I234">
        <v>2</v>
      </c>
      <c r="J234">
        <f t="shared" si="18"/>
        <v>222</v>
      </c>
      <c r="K234" s="191" t="str">
        <f t="shared" si="19"/>
        <v/>
      </c>
      <c r="N234" t="str">
        <f t="shared" si="20"/>
        <v>101100010</v>
      </c>
    </row>
    <row r="235" spans="2:14" x14ac:dyDescent="0.25">
      <c r="B235">
        <v>223</v>
      </c>
      <c r="C235">
        <f t="shared" si="21"/>
        <v>5</v>
      </c>
      <c r="D235">
        <f t="shared" si="22"/>
        <v>4</v>
      </c>
      <c r="E235">
        <f t="shared" si="23"/>
        <v>3</v>
      </c>
      <c r="G235">
        <v>5</v>
      </c>
      <c r="H235">
        <v>4</v>
      </c>
      <c r="I235">
        <v>3</v>
      </c>
      <c r="J235">
        <f t="shared" si="18"/>
        <v>223</v>
      </c>
      <c r="K235" s="134" t="str">
        <f t="shared" si="19"/>
        <v/>
      </c>
      <c r="N235" t="str">
        <f t="shared" si="20"/>
        <v>101100011</v>
      </c>
    </row>
    <row r="236" spans="2:14" x14ac:dyDescent="0.25">
      <c r="B236">
        <v>224</v>
      </c>
      <c r="C236">
        <f t="shared" si="21"/>
        <v>5</v>
      </c>
      <c r="D236">
        <f t="shared" si="22"/>
        <v>4</v>
      </c>
      <c r="E236">
        <f t="shared" si="23"/>
        <v>4</v>
      </c>
      <c r="G236">
        <v>5</v>
      </c>
      <c r="H236">
        <v>4</v>
      </c>
      <c r="I236">
        <v>4</v>
      </c>
      <c r="J236">
        <f t="shared" si="18"/>
        <v>224</v>
      </c>
      <c r="K236" s="240" t="str">
        <f t="shared" si="19"/>
        <v/>
      </c>
      <c r="N236" t="str">
        <f t="shared" si="20"/>
        <v>101100100</v>
      </c>
    </row>
    <row r="237" spans="2:14" x14ac:dyDescent="0.25">
      <c r="B237">
        <v>225</v>
      </c>
      <c r="C237">
        <f t="shared" si="21"/>
        <v>5</v>
      </c>
      <c r="D237">
        <f t="shared" si="22"/>
        <v>4</v>
      </c>
      <c r="E237">
        <f t="shared" si="23"/>
        <v>5</v>
      </c>
      <c r="G237">
        <v>5</v>
      </c>
      <c r="H237">
        <v>4</v>
      </c>
      <c r="I237">
        <v>5</v>
      </c>
      <c r="J237">
        <f t="shared" si="18"/>
        <v>225</v>
      </c>
      <c r="K237" s="135" t="str">
        <f t="shared" si="19"/>
        <v/>
      </c>
      <c r="N237" t="str">
        <f t="shared" si="20"/>
        <v>101100101</v>
      </c>
    </row>
    <row r="238" spans="2:14" x14ac:dyDescent="0.25">
      <c r="B238">
        <v>226</v>
      </c>
      <c r="C238">
        <f t="shared" si="21"/>
        <v>5</v>
      </c>
      <c r="D238">
        <f t="shared" si="22"/>
        <v>5</v>
      </c>
      <c r="E238">
        <f t="shared" si="23"/>
        <v>0</v>
      </c>
      <c r="G238">
        <v>5</v>
      </c>
      <c r="H238">
        <v>5</v>
      </c>
      <c r="I238">
        <v>0</v>
      </c>
      <c r="J238">
        <f t="shared" si="18"/>
        <v>226</v>
      </c>
      <c r="K238" s="138" t="str">
        <f t="shared" si="19"/>
        <v/>
      </c>
      <c r="N238" t="str">
        <f t="shared" si="20"/>
        <v>101101000</v>
      </c>
    </row>
    <row r="239" spans="2:14" x14ac:dyDescent="0.25">
      <c r="B239">
        <v>227</v>
      </c>
      <c r="C239">
        <f t="shared" si="21"/>
        <v>5</v>
      </c>
      <c r="D239">
        <f t="shared" si="22"/>
        <v>5</v>
      </c>
      <c r="E239">
        <f t="shared" si="23"/>
        <v>1</v>
      </c>
      <c r="G239">
        <v>5</v>
      </c>
      <c r="H239">
        <v>5</v>
      </c>
      <c r="I239">
        <v>1</v>
      </c>
      <c r="J239">
        <f t="shared" si="18"/>
        <v>227</v>
      </c>
      <c r="K239" s="136" t="str">
        <f t="shared" si="19"/>
        <v/>
      </c>
      <c r="N239" t="str">
        <f t="shared" si="20"/>
        <v>101101001</v>
      </c>
    </row>
    <row r="240" spans="2:14" x14ac:dyDescent="0.25">
      <c r="B240">
        <v>228</v>
      </c>
      <c r="C240">
        <f t="shared" si="21"/>
        <v>5</v>
      </c>
      <c r="D240">
        <f t="shared" si="22"/>
        <v>5</v>
      </c>
      <c r="E240">
        <f t="shared" si="23"/>
        <v>2</v>
      </c>
      <c r="G240">
        <v>5</v>
      </c>
      <c r="H240">
        <v>5</v>
      </c>
      <c r="I240">
        <v>2</v>
      </c>
      <c r="J240">
        <f t="shared" si="18"/>
        <v>228</v>
      </c>
      <c r="K240" s="241" t="str">
        <f t="shared" si="19"/>
        <v/>
      </c>
      <c r="N240" t="str">
        <f t="shared" si="20"/>
        <v>101101010</v>
      </c>
    </row>
    <row r="241" spans="1:14" x14ac:dyDescent="0.25">
      <c r="B241">
        <v>229</v>
      </c>
      <c r="C241">
        <f t="shared" si="21"/>
        <v>5</v>
      </c>
      <c r="D241">
        <f t="shared" si="22"/>
        <v>5</v>
      </c>
      <c r="E241">
        <f t="shared" si="23"/>
        <v>3</v>
      </c>
      <c r="G241">
        <v>5</v>
      </c>
      <c r="H241">
        <v>5</v>
      </c>
      <c r="I241">
        <v>3</v>
      </c>
      <c r="J241">
        <f t="shared" si="18"/>
        <v>229</v>
      </c>
      <c r="K241" s="137" t="str">
        <f t="shared" si="19"/>
        <v/>
      </c>
      <c r="N241" t="str">
        <f t="shared" si="20"/>
        <v>101101011</v>
      </c>
    </row>
    <row r="242" spans="1:14" x14ac:dyDescent="0.25">
      <c r="B242">
        <v>230</v>
      </c>
      <c r="C242">
        <f t="shared" si="21"/>
        <v>5</v>
      </c>
      <c r="D242">
        <f t="shared" si="22"/>
        <v>5</v>
      </c>
      <c r="E242">
        <f t="shared" si="23"/>
        <v>4</v>
      </c>
      <c r="G242">
        <v>5</v>
      </c>
      <c r="H242">
        <v>5</v>
      </c>
      <c r="I242">
        <v>4</v>
      </c>
      <c r="J242">
        <f t="shared" si="18"/>
        <v>230</v>
      </c>
      <c r="K242" s="192" t="str">
        <f t="shared" si="19"/>
        <v/>
      </c>
      <c r="N242" t="str">
        <f t="shared" si="20"/>
        <v>101101100</v>
      </c>
    </row>
    <row r="243" spans="1:14" x14ac:dyDescent="0.25">
      <c r="B243">
        <v>231</v>
      </c>
      <c r="C243">
        <f t="shared" si="21"/>
        <v>5</v>
      </c>
      <c r="D243">
        <f t="shared" si="22"/>
        <v>5</v>
      </c>
      <c r="E243">
        <f t="shared" si="23"/>
        <v>5</v>
      </c>
      <c r="G243">
        <v>5</v>
      </c>
      <c r="H243">
        <v>5</v>
      </c>
      <c r="I243">
        <v>5</v>
      </c>
      <c r="J243">
        <f t="shared" si="18"/>
        <v>231</v>
      </c>
      <c r="K243" s="27" t="str">
        <f t="shared" si="19"/>
        <v/>
      </c>
      <c r="N243" t="str">
        <f t="shared" si="20"/>
        <v>101101101</v>
      </c>
    </row>
    <row r="244" spans="1:14" x14ac:dyDescent="0.25">
      <c r="A244" s="415" t="s">
        <v>43</v>
      </c>
      <c r="B244">
        <v>232</v>
      </c>
      <c r="C244">
        <f>(B244-232)*10+8</f>
        <v>8</v>
      </c>
      <c r="D244">
        <f>(B244-232)*10+8</f>
        <v>8</v>
      </c>
      <c r="E244">
        <f>(B244-232)*10+8</f>
        <v>8</v>
      </c>
      <c r="F244" s="2" t="str">
        <f>myRGB(C244,D244,E244)</f>
        <v/>
      </c>
      <c r="G244">
        <f>INT(C244/51)+1</f>
        <v>1</v>
      </c>
      <c r="H244" s="242" t="str">
        <f>myRGB(G244*$L$8,G244*$L$8,G244*$L$8)</f>
        <v/>
      </c>
      <c r="I244">
        <f>INT(G244*$L$8)</f>
        <v>36</v>
      </c>
      <c r="J244">
        <f>B244</f>
        <v>232</v>
      </c>
      <c r="N244" t="str">
        <f>DEC2BIN(G244,3)&amp;DEC2BIN(G244,3)&amp;DEC2BIN(G244,3)</f>
        <v>001001001</v>
      </c>
    </row>
    <row r="245" spans="1:14" x14ac:dyDescent="0.25">
      <c r="A245" s="415"/>
      <c r="B245">
        <v>233</v>
      </c>
      <c r="C245">
        <f t="shared" ref="C245:C267" si="24">(B245-232)*10+8</f>
        <v>18</v>
      </c>
      <c r="D245">
        <f t="shared" ref="D245:D267" si="25">(B245-232)*10+8</f>
        <v>18</v>
      </c>
      <c r="E245">
        <f t="shared" ref="E245:E267" si="26">(B245-232)*10+8</f>
        <v>18</v>
      </c>
      <c r="F245" s="3" t="str">
        <f t="shared" ref="F245:F267" si="27">myRGB(C245,D245,E245)</f>
        <v/>
      </c>
      <c r="G245">
        <f t="shared" ref="G245:G255" si="28">INT(C245/51)+1</f>
        <v>1</v>
      </c>
      <c r="H245" s="242" t="str">
        <f t="shared" ref="H245:H267" si="29">myRGB(G245*$L$8,G245*$L$8,G245*$L$8)</f>
        <v/>
      </c>
      <c r="I245">
        <f t="shared" ref="I245:I267" si="30">INT(G245*$L$8)</f>
        <v>36</v>
      </c>
      <c r="J245">
        <f t="shared" ref="J245:J267" si="31">B245</f>
        <v>233</v>
      </c>
      <c r="N245" t="str">
        <f t="shared" ref="N245:N267" si="32">DEC2BIN(G245,3)&amp;DEC2BIN(G245,3)&amp;DEC2BIN(G245,3)</f>
        <v>001001001</v>
      </c>
    </row>
    <row r="246" spans="1:14" x14ac:dyDescent="0.25">
      <c r="A246" s="415"/>
      <c r="B246">
        <v>234</v>
      </c>
      <c r="C246">
        <f t="shared" si="24"/>
        <v>28</v>
      </c>
      <c r="D246">
        <f t="shared" si="25"/>
        <v>28</v>
      </c>
      <c r="E246">
        <f t="shared" si="26"/>
        <v>28</v>
      </c>
      <c r="F246" s="15" t="str">
        <f t="shared" si="27"/>
        <v/>
      </c>
      <c r="G246">
        <f t="shared" si="28"/>
        <v>1</v>
      </c>
      <c r="H246" s="242" t="str">
        <f t="shared" si="29"/>
        <v/>
      </c>
      <c r="I246">
        <f t="shared" si="30"/>
        <v>36</v>
      </c>
      <c r="J246">
        <f t="shared" si="31"/>
        <v>234</v>
      </c>
      <c r="N246" t="str">
        <f t="shared" si="32"/>
        <v>001001001</v>
      </c>
    </row>
    <row r="247" spans="1:14" x14ac:dyDescent="0.25">
      <c r="A247" s="415"/>
      <c r="B247">
        <v>235</v>
      </c>
      <c r="C247">
        <f t="shared" si="24"/>
        <v>38</v>
      </c>
      <c r="D247">
        <f t="shared" si="25"/>
        <v>38</v>
      </c>
      <c r="E247">
        <f t="shared" si="26"/>
        <v>38</v>
      </c>
      <c r="F247" s="4" t="str">
        <f t="shared" si="27"/>
        <v/>
      </c>
      <c r="G247">
        <f t="shared" si="28"/>
        <v>1</v>
      </c>
      <c r="H247" s="242" t="str">
        <f t="shared" si="29"/>
        <v/>
      </c>
      <c r="I247">
        <f t="shared" si="30"/>
        <v>36</v>
      </c>
      <c r="J247">
        <f t="shared" si="31"/>
        <v>235</v>
      </c>
      <c r="N247" t="str">
        <f t="shared" si="32"/>
        <v>001001001</v>
      </c>
    </row>
    <row r="248" spans="1:14" x14ac:dyDescent="0.25">
      <c r="A248" s="415"/>
      <c r="B248">
        <v>236</v>
      </c>
      <c r="C248">
        <f t="shared" si="24"/>
        <v>48</v>
      </c>
      <c r="D248">
        <f t="shared" si="25"/>
        <v>48</v>
      </c>
      <c r="E248">
        <f t="shared" si="26"/>
        <v>48</v>
      </c>
      <c r="F248" s="16" t="str">
        <f t="shared" si="27"/>
        <v/>
      </c>
      <c r="G248">
        <v>2</v>
      </c>
      <c r="H248" s="243" t="str">
        <f t="shared" si="29"/>
        <v/>
      </c>
      <c r="I248">
        <f t="shared" si="30"/>
        <v>72</v>
      </c>
      <c r="J248">
        <f t="shared" si="31"/>
        <v>236</v>
      </c>
      <c r="N248" t="str">
        <f t="shared" si="32"/>
        <v>010010010</v>
      </c>
    </row>
    <row r="249" spans="1:14" x14ac:dyDescent="0.25">
      <c r="A249" s="415"/>
      <c r="B249">
        <v>237</v>
      </c>
      <c r="C249">
        <f t="shared" si="24"/>
        <v>58</v>
      </c>
      <c r="D249">
        <f t="shared" si="25"/>
        <v>58</v>
      </c>
      <c r="E249">
        <f t="shared" si="26"/>
        <v>58</v>
      </c>
      <c r="F249" s="5" t="str">
        <f t="shared" si="27"/>
        <v/>
      </c>
      <c r="G249">
        <f t="shared" si="28"/>
        <v>2</v>
      </c>
      <c r="H249" s="243" t="str">
        <f t="shared" si="29"/>
        <v/>
      </c>
      <c r="I249">
        <f t="shared" si="30"/>
        <v>72</v>
      </c>
      <c r="J249">
        <f t="shared" si="31"/>
        <v>237</v>
      </c>
      <c r="N249" t="str">
        <f t="shared" si="32"/>
        <v>010010010</v>
      </c>
    </row>
    <row r="250" spans="1:14" x14ac:dyDescent="0.25">
      <c r="A250" s="415"/>
      <c r="B250">
        <v>238</v>
      </c>
      <c r="C250">
        <f t="shared" si="24"/>
        <v>68</v>
      </c>
      <c r="D250">
        <f t="shared" si="25"/>
        <v>68</v>
      </c>
      <c r="E250">
        <f t="shared" si="26"/>
        <v>68</v>
      </c>
      <c r="F250" s="17" t="str">
        <f t="shared" si="27"/>
        <v/>
      </c>
      <c r="G250">
        <f t="shared" si="28"/>
        <v>2</v>
      </c>
      <c r="H250" s="243" t="str">
        <f t="shared" si="29"/>
        <v/>
      </c>
      <c r="I250">
        <f t="shared" si="30"/>
        <v>72</v>
      </c>
      <c r="J250">
        <f t="shared" si="31"/>
        <v>238</v>
      </c>
      <c r="N250" t="str">
        <f t="shared" si="32"/>
        <v>010010010</v>
      </c>
    </row>
    <row r="251" spans="1:14" x14ac:dyDescent="0.25">
      <c r="A251" s="415"/>
      <c r="B251">
        <v>239</v>
      </c>
      <c r="C251">
        <f t="shared" si="24"/>
        <v>78</v>
      </c>
      <c r="D251">
        <f t="shared" si="25"/>
        <v>78</v>
      </c>
      <c r="E251">
        <f t="shared" si="26"/>
        <v>78</v>
      </c>
      <c r="F251" s="6" t="str">
        <f t="shared" si="27"/>
        <v/>
      </c>
      <c r="G251">
        <f t="shared" si="28"/>
        <v>2</v>
      </c>
      <c r="H251" s="243" t="str">
        <f t="shared" si="29"/>
        <v/>
      </c>
      <c r="I251">
        <f t="shared" si="30"/>
        <v>72</v>
      </c>
      <c r="J251">
        <f t="shared" si="31"/>
        <v>239</v>
      </c>
      <c r="N251" t="str">
        <f t="shared" si="32"/>
        <v>010010010</v>
      </c>
    </row>
    <row r="252" spans="1:14" x14ac:dyDescent="0.25">
      <c r="A252" s="415"/>
      <c r="B252">
        <v>240</v>
      </c>
      <c r="C252">
        <f t="shared" si="24"/>
        <v>88</v>
      </c>
      <c r="D252">
        <f t="shared" si="25"/>
        <v>88</v>
      </c>
      <c r="E252">
        <f t="shared" si="26"/>
        <v>88</v>
      </c>
      <c r="F252" s="18" t="str">
        <f t="shared" si="27"/>
        <v/>
      </c>
      <c r="G252">
        <v>3</v>
      </c>
      <c r="H252" s="244" t="str">
        <f t="shared" si="29"/>
        <v/>
      </c>
      <c r="I252">
        <f t="shared" si="30"/>
        <v>109</v>
      </c>
      <c r="J252">
        <f t="shared" si="31"/>
        <v>240</v>
      </c>
      <c r="N252" t="str">
        <f t="shared" si="32"/>
        <v>011011011</v>
      </c>
    </row>
    <row r="253" spans="1:14" x14ac:dyDescent="0.25">
      <c r="A253" s="415"/>
      <c r="B253">
        <v>241</v>
      </c>
      <c r="C253">
        <f t="shared" si="24"/>
        <v>98</v>
      </c>
      <c r="D253">
        <f t="shared" si="25"/>
        <v>98</v>
      </c>
      <c r="E253">
        <f t="shared" si="26"/>
        <v>98</v>
      </c>
      <c r="F253" s="7" t="str">
        <f t="shared" si="27"/>
        <v/>
      </c>
      <c r="G253">
        <v>3</v>
      </c>
      <c r="H253" s="244" t="str">
        <f t="shared" si="29"/>
        <v/>
      </c>
      <c r="I253">
        <f t="shared" si="30"/>
        <v>109</v>
      </c>
      <c r="J253">
        <f t="shared" si="31"/>
        <v>241</v>
      </c>
      <c r="N253" t="str">
        <f t="shared" si="32"/>
        <v>011011011</v>
      </c>
    </row>
    <row r="254" spans="1:14" x14ac:dyDescent="0.25">
      <c r="A254" s="415"/>
      <c r="B254">
        <v>242</v>
      </c>
      <c r="C254">
        <f t="shared" si="24"/>
        <v>108</v>
      </c>
      <c r="D254">
        <f t="shared" si="25"/>
        <v>108</v>
      </c>
      <c r="E254">
        <f t="shared" si="26"/>
        <v>108</v>
      </c>
      <c r="F254" s="19" t="str">
        <f t="shared" si="27"/>
        <v/>
      </c>
      <c r="G254">
        <f t="shared" si="28"/>
        <v>3</v>
      </c>
      <c r="H254" s="244" t="str">
        <f t="shared" si="29"/>
        <v/>
      </c>
      <c r="I254">
        <f t="shared" si="30"/>
        <v>109</v>
      </c>
      <c r="J254">
        <f t="shared" si="31"/>
        <v>242</v>
      </c>
      <c r="N254" t="str">
        <f t="shared" si="32"/>
        <v>011011011</v>
      </c>
    </row>
    <row r="255" spans="1:14" x14ac:dyDescent="0.25">
      <c r="A255" s="415"/>
      <c r="B255">
        <v>243</v>
      </c>
      <c r="C255">
        <f t="shared" si="24"/>
        <v>118</v>
      </c>
      <c r="D255">
        <f t="shared" si="25"/>
        <v>118</v>
      </c>
      <c r="E255">
        <f t="shared" si="26"/>
        <v>118</v>
      </c>
      <c r="F255" s="8" t="str">
        <f t="shared" si="27"/>
        <v/>
      </c>
      <c r="G255">
        <f t="shared" si="28"/>
        <v>3</v>
      </c>
      <c r="H255" s="244" t="str">
        <f t="shared" si="29"/>
        <v/>
      </c>
      <c r="I255">
        <f t="shared" si="30"/>
        <v>109</v>
      </c>
      <c r="J255">
        <f t="shared" si="31"/>
        <v>243</v>
      </c>
      <c r="N255" t="str">
        <f t="shared" si="32"/>
        <v>011011011</v>
      </c>
    </row>
    <row r="256" spans="1:14" x14ac:dyDescent="0.25">
      <c r="A256" s="415"/>
      <c r="B256">
        <v>244</v>
      </c>
      <c r="C256">
        <f t="shared" si="24"/>
        <v>128</v>
      </c>
      <c r="D256">
        <f t="shared" si="25"/>
        <v>128</v>
      </c>
      <c r="E256">
        <f t="shared" si="26"/>
        <v>128</v>
      </c>
      <c r="F256" s="20" t="str">
        <f t="shared" si="27"/>
        <v/>
      </c>
      <c r="G256">
        <v>4</v>
      </c>
      <c r="H256" s="245" t="str">
        <f t="shared" si="29"/>
        <v/>
      </c>
      <c r="I256">
        <f t="shared" si="30"/>
        <v>145</v>
      </c>
      <c r="J256">
        <f t="shared" si="31"/>
        <v>244</v>
      </c>
      <c r="N256" t="str">
        <f t="shared" si="32"/>
        <v>100100100</v>
      </c>
    </row>
    <row r="257" spans="1:14" x14ac:dyDescent="0.25">
      <c r="A257" s="415"/>
      <c r="B257">
        <v>245</v>
      </c>
      <c r="C257">
        <f t="shared" si="24"/>
        <v>138</v>
      </c>
      <c r="D257">
        <f t="shared" si="25"/>
        <v>138</v>
      </c>
      <c r="E257">
        <f t="shared" si="26"/>
        <v>138</v>
      </c>
      <c r="F257" s="9" t="str">
        <f t="shared" si="27"/>
        <v/>
      </c>
      <c r="G257">
        <v>4</v>
      </c>
      <c r="H257" s="245" t="str">
        <f t="shared" si="29"/>
        <v/>
      </c>
      <c r="I257">
        <f t="shared" si="30"/>
        <v>145</v>
      </c>
      <c r="J257">
        <f t="shared" si="31"/>
        <v>245</v>
      </c>
      <c r="N257" t="str">
        <f t="shared" si="32"/>
        <v>100100100</v>
      </c>
    </row>
    <row r="258" spans="1:14" x14ac:dyDescent="0.25">
      <c r="A258" s="415"/>
      <c r="B258">
        <v>246</v>
      </c>
      <c r="C258">
        <f t="shared" si="24"/>
        <v>148</v>
      </c>
      <c r="D258">
        <f t="shared" si="25"/>
        <v>148</v>
      </c>
      <c r="E258">
        <f t="shared" si="26"/>
        <v>148</v>
      </c>
      <c r="F258" s="21" t="str">
        <f t="shared" si="27"/>
        <v/>
      </c>
      <c r="G258">
        <v>4</v>
      </c>
      <c r="H258" s="245" t="str">
        <f t="shared" si="29"/>
        <v/>
      </c>
      <c r="I258">
        <f t="shared" si="30"/>
        <v>145</v>
      </c>
      <c r="J258">
        <f t="shared" si="31"/>
        <v>246</v>
      </c>
      <c r="N258" t="str">
        <f t="shared" si="32"/>
        <v>100100100</v>
      </c>
    </row>
    <row r="259" spans="1:14" x14ac:dyDescent="0.25">
      <c r="A259" s="415"/>
      <c r="B259">
        <v>247</v>
      </c>
      <c r="C259">
        <f t="shared" si="24"/>
        <v>158</v>
      </c>
      <c r="D259">
        <f t="shared" si="25"/>
        <v>158</v>
      </c>
      <c r="E259">
        <f t="shared" si="26"/>
        <v>158</v>
      </c>
      <c r="F259" s="10" t="str">
        <f t="shared" si="27"/>
        <v/>
      </c>
      <c r="G259">
        <v>4</v>
      </c>
      <c r="H259" s="245" t="str">
        <f t="shared" si="29"/>
        <v/>
      </c>
      <c r="I259">
        <f t="shared" si="30"/>
        <v>145</v>
      </c>
      <c r="J259">
        <f t="shared" si="31"/>
        <v>247</v>
      </c>
      <c r="N259" t="str">
        <f t="shared" si="32"/>
        <v>100100100</v>
      </c>
    </row>
    <row r="260" spans="1:14" x14ac:dyDescent="0.25">
      <c r="A260" s="415"/>
      <c r="B260">
        <v>248</v>
      </c>
      <c r="C260">
        <f t="shared" si="24"/>
        <v>168</v>
      </c>
      <c r="D260">
        <f t="shared" si="25"/>
        <v>168</v>
      </c>
      <c r="E260">
        <f t="shared" si="26"/>
        <v>168</v>
      </c>
      <c r="F260" s="22" t="str">
        <f t="shared" si="27"/>
        <v/>
      </c>
      <c r="G260">
        <v>5</v>
      </c>
      <c r="H260" s="246" t="str">
        <f t="shared" si="29"/>
        <v/>
      </c>
      <c r="I260">
        <f t="shared" si="30"/>
        <v>182</v>
      </c>
      <c r="J260">
        <f t="shared" si="31"/>
        <v>248</v>
      </c>
      <c r="N260" t="str">
        <f t="shared" si="32"/>
        <v>101101101</v>
      </c>
    </row>
    <row r="261" spans="1:14" x14ac:dyDescent="0.25">
      <c r="A261" s="415"/>
      <c r="B261">
        <v>249</v>
      </c>
      <c r="C261">
        <f t="shared" si="24"/>
        <v>178</v>
      </c>
      <c r="D261">
        <f t="shared" si="25"/>
        <v>178</v>
      </c>
      <c r="E261">
        <f t="shared" si="26"/>
        <v>178</v>
      </c>
      <c r="F261" s="11" t="str">
        <f t="shared" si="27"/>
        <v/>
      </c>
      <c r="G261">
        <v>5</v>
      </c>
      <c r="H261" s="246" t="str">
        <f t="shared" si="29"/>
        <v/>
      </c>
      <c r="I261">
        <f t="shared" si="30"/>
        <v>182</v>
      </c>
      <c r="J261">
        <f t="shared" si="31"/>
        <v>249</v>
      </c>
      <c r="N261" t="str">
        <f t="shared" si="32"/>
        <v>101101101</v>
      </c>
    </row>
    <row r="262" spans="1:14" x14ac:dyDescent="0.25">
      <c r="A262" s="415"/>
      <c r="B262">
        <v>250</v>
      </c>
      <c r="C262">
        <f t="shared" si="24"/>
        <v>188</v>
      </c>
      <c r="D262">
        <f t="shared" si="25"/>
        <v>188</v>
      </c>
      <c r="E262">
        <f t="shared" si="26"/>
        <v>188</v>
      </c>
      <c r="F262" s="23" t="str">
        <f t="shared" si="27"/>
        <v/>
      </c>
      <c r="G262">
        <v>5</v>
      </c>
      <c r="H262" s="246" t="str">
        <f t="shared" si="29"/>
        <v/>
      </c>
      <c r="I262">
        <f t="shared" si="30"/>
        <v>182</v>
      </c>
      <c r="J262">
        <f t="shared" si="31"/>
        <v>250</v>
      </c>
      <c r="N262" t="str">
        <f t="shared" si="32"/>
        <v>101101101</v>
      </c>
    </row>
    <row r="263" spans="1:14" x14ac:dyDescent="0.25">
      <c r="A263" s="415"/>
      <c r="B263">
        <v>251</v>
      </c>
      <c r="C263">
        <f t="shared" si="24"/>
        <v>198</v>
      </c>
      <c r="D263">
        <f t="shared" si="25"/>
        <v>198</v>
      </c>
      <c r="E263">
        <f t="shared" si="26"/>
        <v>198</v>
      </c>
      <c r="F263" s="12" t="str">
        <f t="shared" si="27"/>
        <v/>
      </c>
      <c r="G263">
        <v>5</v>
      </c>
      <c r="H263" s="246" t="str">
        <f t="shared" si="29"/>
        <v/>
      </c>
      <c r="I263">
        <f t="shared" si="30"/>
        <v>182</v>
      </c>
      <c r="J263">
        <f t="shared" si="31"/>
        <v>251</v>
      </c>
      <c r="N263" t="str">
        <f t="shared" si="32"/>
        <v>101101101</v>
      </c>
    </row>
    <row r="264" spans="1:14" x14ac:dyDescent="0.25">
      <c r="A264" s="415"/>
      <c r="B264">
        <v>252</v>
      </c>
      <c r="C264">
        <f t="shared" si="24"/>
        <v>208</v>
      </c>
      <c r="D264">
        <f t="shared" si="25"/>
        <v>208</v>
      </c>
      <c r="E264">
        <f t="shared" si="26"/>
        <v>208</v>
      </c>
      <c r="F264" s="24" t="str">
        <f t="shared" si="27"/>
        <v/>
      </c>
      <c r="G264">
        <v>6</v>
      </c>
      <c r="H264" s="247" t="str">
        <f t="shared" si="29"/>
        <v/>
      </c>
      <c r="I264">
        <f t="shared" si="30"/>
        <v>218</v>
      </c>
      <c r="J264">
        <f t="shared" si="31"/>
        <v>252</v>
      </c>
      <c r="N264" t="str">
        <f t="shared" si="32"/>
        <v>110110110</v>
      </c>
    </row>
    <row r="265" spans="1:14" x14ac:dyDescent="0.25">
      <c r="A265" s="415"/>
      <c r="B265">
        <v>253</v>
      </c>
      <c r="C265">
        <f t="shared" si="24"/>
        <v>218</v>
      </c>
      <c r="D265">
        <f t="shared" si="25"/>
        <v>218</v>
      </c>
      <c r="E265">
        <f t="shared" si="26"/>
        <v>218</v>
      </c>
      <c r="F265" s="13" t="str">
        <f t="shared" si="27"/>
        <v/>
      </c>
      <c r="G265">
        <v>6</v>
      </c>
      <c r="H265" s="247" t="str">
        <f t="shared" si="29"/>
        <v/>
      </c>
      <c r="I265">
        <f t="shared" si="30"/>
        <v>218</v>
      </c>
      <c r="J265">
        <f t="shared" si="31"/>
        <v>253</v>
      </c>
      <c r="N265" t="str">
        <f t="shared" si="32"/>
        <v>110110110</v>
      </c>
    </row>
    <row r="266" spans="1:14" x14ac:dyDescent="0.25">
      <c r="A266" s="415"/>
      <c r="B266">
        <v>254</v>
      </c>
      <c r="C266">
        <f t="shared" si="24"/>
        <v>228</v>
      </c>
      <c r="D266">
        <f t="shared" si="25"/>
        <v>228</v>
      </c>
      <c r="E266">
        <f t="shared" si="26"/>
        <v>228</v>
      </c>
      <c r="F266" s="25" t="str">
        <f t="shared" si="27"/>
        <v/>
      </c>
      <c r="G266">
        <v>6</v>
      </c>
      <c r="H266" s="247" t="str">
        <f t="shared" si="29"/>
        <v/>
      </c>
      <c r="I266">
        <f t="shared" si="30"/>
        <v>218</v>
      </c>
      <c r="J266">
        <f t="shared" si="31"/>
        <v>254</v>
      </c>
      <c r="N266" t="str">
        <f t="shared" si="32"/>
        <v>110110110</v>
      </c>
    </row>
    <row r="267" spans="1:14" x14ac:dyDescent="0.25">
      <c r="A267" s="415"/>
      <c r="B267">
        <v>255</v>
      </c>
      <c r="C267">
        <f t="shared" si="24"/>
        <v>238</v>
      </c>
      <c r="D267">
        <f t="shared" si="25"/>
        <v>238</v>
      </c>
      <c r="E267">
        <f t="shared" si="26"/>
        <v>238</v>
      </c>
      <c r="F267" s="14" t="str">
        <f t="shared" si="27"/>
        <v/>
      </c>
      <c r="G267">
        <v>6</v>
      </c>
      <c r="H267" s="247" t="str">
        <f t="shared" si="29"/>
        <v/>
      </c>
      <c r="I267">
        <f t="shared" si="30"/>
        <v>218</v>
      </c>
      <c r="J267">
        <f t="shared" si="31"/>
        <v>255</v>
      </c>
      <c r="N267" t="str">
        <f t="shared" si="32"/>
        <v>110110110</v>
      </c>
    </row>
  </sheetData>
  <mergeCells count="1">
    <mergeCell ref="A244:A26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256 Color LUT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Voggeneder</dc:creator>
  <cp:lastModifiedBy>Andreas Voggeneder</cp:lastModifiedBy>
  <dcterms:created xsi:type="dcterms:W3CDTF">2024-01-05T19:04:04Z</dcterms:created>
  <dcterms:modified xsi:type="dcterms:W3CDTF">2026-01-20T18:53:47Z</dcterms:modified>
</cp:coreProperties>
</file>